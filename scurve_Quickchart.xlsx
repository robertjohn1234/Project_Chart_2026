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 Pertama OPI\Desktop\Desktop\"/>
    </mc:Choice>
  </mc:AlternateContent>
  <xr:revisionPtr revIDLastSave="0" documentId="13_ncr:1_{57C68A9A-C354-4DC7-ACEF-2BFDEAAEB9EF}" xr6:coauthVersionLast="47" xr6:coauthVersionMax="47" xr10:uidLastSave="{00000000-0000-0000-0000-000000000000}"/>
  <bookViews>
    <workbookView xWindow="-108" yWindow="-108" windowWidth="23256" windowHeight="12456" firstSheet="1" activeTab="4" xr2:uid="{4AE15E9F-6D41-4D01-96E3-D0C1AD5D8D70}"/>
  </bookViews>
  <sheets>
    <sheet name="S-Curve (2)" sheetId="4" state="hidden" r:id="rId1"/>
    <sheet name="S-Curve Baseline 1" sheetId="1" r:id="rId2"/>
    <sheet name="S-Curve Baseline 2" sheetId="6" r:id="rId3"/>
    <sheet name="S-Curve Baseline 2 HIDE" sheetId="2" state="hidden" r:id="rId4"/>
    <sheet name="S-Curve Baseline2 July-Nov 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12" i="5" l="1"/>
  <c r="CH6" i="5"/>
  <c r="CG12" i="5"/>
  <c r="CG6" i="5"/>
  <c r="CF12" i="5"/>
  <c r="CF6" i="5"/>
  <c r="CE12" i="5"/>
  <c r="CE6" i="5"/>
  <c r="CD12" i="5"/>
  <c r="CD6" i="5"/>
  <c r="CC12" i="5"/>
  <c r="CC6" i="5"/>
  <c r="CB12" i="5"/>
  <c r="CB6" i="5"/>
  <c r="CA12" i="5"/>
  <c r="CA6" i="5"/>
  <c r="BZ12" i="5"/>
  <c r="BZ6" i="5"/>
  <c r="BY6" i="5"/>
  <c r="BY12" i="5"/>
  <c r="BX12" i="5" l="1"/>
  <c r="BX6" i="5"/>
  <c r="BW6" i="5"/>
  <c r="BV6" i="5"/>
  <c r="BV12" i="6"/>
  <c r="BU12" i="6"/>
  <c r="BV6" i="6"/>
  <c r="BU6" i="6"/>
  <c r="CE10" i="6"/>
  <c r="CD10" i="6"/>
  <c r="CE5" i="6" s="1"/>
  <c r="CC10" i="6"/>
  <c r="CD5" i="6" s="1"/>
  <c r="CB10" i="6"/>
  <c r="CC5" i="6" s="1"/>
  <c r="AT9" i="6"/>
  <c r="AT12" i="6" s="1"/>
  <c r="AS9" i="6"/>
  <c r="AS12" i="6" s="1"/>
  <c r="AR9" i="6"/>
  <c r="AR12" i="6" s="1"/>
  <c r="AQ9" i="6"/>
  <c r="AQ12" i="6" s="1"/>
  <c r="AD9" i="6"/>
  <c r="AD12" i="6" s="1"/>
  <c r="AC9" i="6"/>
  <c r="AC12" i="6" s="1"/>
  <c r="AB9" i="6"/>
  <c r="AB12" i="6" s="1"/>
  <c r="AA9" i="6"/>
  <c r="AA12" i="6" s="1"/>
  <c r="N9" i="6"/>
  <c r="N12" i="6" s="1"/>
  <c r="M9" i="6"/>
  <c r="M12" i="6" s="1"/>
  <c r="L9" i="6"/>
  <c r="L12" i="6" s="1"/>
  <c r="K9" i="6"/>
  <c r="K12" i="6" s="1"/>
  <c r="AZ7" i="6"/>
  <c r="CA10" i="6" s="1"/>
  <c r="BT6" i="6"/>
  <c r="BS6" i="6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J12" i="5"/>
  <c r="S12" i="5"/>
  <c r="BU12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C6" i="5"/>
  <c r="CL10" i="5"/>
  <c r="CM10" i="5"/>
  <c r="CN10" i="5"/>
  <c r="CO10" i="5"/>
  <c r="CO5" i="5" s="1"/>
  <c r="CP10" i="5"/>
  <c r="CP5" i="5" s="1"/>
  <c r="CN5" i="5"/>
  <c r="B9" i="5"/>
  <c r="B12" i="5" s="1"/>
  <c r="CK10" i="5"/>
  <c r="CJ10" i="5"/>
  <c r="CI10" i="5"/>
  <c r="CG10" i="5"/>
  <c r="CF10" i="5"/>
  <c r="CC10" i="5"/>
  <c r="CB10" i="5"/>
  <c r="CA10" i="5"/>
  <c r="CB5" i="5" s="1"/>
  <c r="BZ10" i="5"/>
  <c r="BY10" i="5"/>
  <c r="BX10" i="5"/>
  <c r="BW10" i="5"/>
  <c r="BW12" i="5" s="1"/>
  <c r="BV10" i="5"/>
  <c r="BV12" i="5" s="1"/>
  <c r="AZ9" i="5"/>
  <c r="AZ12" i="5" s="1"/>
  <c r="AY9" i="5"/>
  <c r="AY12" i="5" s="1"/>
  <c r="AV9" i="5"/>
  <c r="AV12" i="5" s="1"/>
  <c r="AU9" i="5"/>
  <c r="AU12" i="5" s="1"/>
  <c r="AT9" i="5"/>
  <c r="AT12" i="5" s="1"/>
  <c r="AS9" i="5"/>
  <c r="AS12" i="5" s="1"/>
  <c r="AR9" i="5"/>
  <c r="AR12" i="5" s="1"/>
  <c r="AQ9" i="5"/>
  <c r="AQ12" i="5" s="1"/>
  <c r="AP9" i="5"/>
  <c r="AP12" i="5" s="1"/>
  <c r="AO9" i="5"/>
  <c r="AO12" i="5" s="1"/>
  <c r="AN9" i="5"/>
  <c r="AN12" i="5" s="1"/>
  <c r="AM9" i="5"/>
  <c r="AM12" i="5" s="1"/>
  <c r="AL9" i="5"/>
  <c r="AL12" i="5" s="1"/>
  <c r="AK9" i="5"/>
  <c r="AK12" i="5" s="1"/>
  <c r="AJ9" i="5"/>
  <c r="AJ12" i="5" s="1"/>
  <c r="AI9" i="5"/>
  <c r="AI12" i="5" s="1"/>
  <c r="AF9" i="5"/>
  <c r="AF12" i="5" s="1"/>
  <c r="AE9" i="5"/>
  <c r="AE12" i="5" s="1"/>
  <c r="AD9" i="5"/>
  <c r="AD12" i="5" s="1"/>
  <c r="AC9" i="5"/>
  <c r="AC12" i="5" s="1"/>
  <c r="AB9" i="5"/>
  <c r="AB12" i="5" s="1"/>
  <c r="AA9" i="5"/>
  <c r="AA12" i="5" s="1"/>
  <c r="Z9" i="5"/>
  <c r="Z12" i="5" s="1"/>
  <c r="Y9" i="5"/>
  <c r="Y12" i="5" s="1"/>
  <c r="X9" i="5"/>
  <c r="X12" i="5" s="1"/>
  <c r="W9" i="5"/>
  <c r="W12" i="5" s="1"/>
  <c r="V9" i="5"/>
  <c r="V12" i="5" s="1"/>
  <c r="U9" i="5"/>
  <c r="U12" i="5" s="1"/>
  <c r="T9" i="5"/>
  <c r="T12" i="5" s="1"/>
  <c r="S9" i="5"/>
  <c r="P9" i="5"/>
  <c r="P12" i="5" s="1"/>
  <c r="O9" i="5"/>
  <c r="O12" i="5" s="1"/>
  <c r="N9" i="5"/>
  <c r="N12" i="5" s="1"/>
  <c r="M9" i="5"/>
  <c r="M12" i="5" s="1"/>
  <c r="L9" i="5"/>
  <c r="L12" i="5" s="1"/>
  <c r="K9" i="5"/>
  <c r="K12" i="5" s="1"/>
  <c r="J9" i="5"/>
  <c r="I9" i="5"/>
  <c r="I12" i="5" s="1"/>
  <c r="H9" i="5"/>
  <c r="H12" i="5" s="1"/>
  <c r="G9" i="5"/>
  <c r="G12" i="5" s="1"/>
  <c r="F9" i="5"/>
  <c r="F12" i="5" s="1"/>
  <c r="E9" i="5"/>
  <c r="E12" i="5" s="1"/>
  <c r="D9" i="5"/>
  <c r="D12" i="5" s="1"/>
  <c r="C9" i="5"/>
  <c r="C12" i="5" s="1"/>
  <c r="AZ7" i="5"/>
  <c r="CH10" i="5" s="1"/>
  <c r="BQ12" i="2"/>
  <c r="AZ7" i="2"/>
  <c r="BV10" i="2" s="1"/>
  <c r="BS10" i="2"/>
  <c r="BT10" i="2"/>
  <c r="BT5" i="2" s="1"/>
  <c r="CD10" i="2"/>
  <c r="CE10" i="2"/>
  <c r="CE5" i="2" s="1"/>
  <c r="BI9" i="4"/>
  <c r="BG9" i="4"/>
  <c r="BF9" i="4"/>
  <c r="BE9" i="4"/>
  <c r="BD9" i="4"/>
  <c r="BC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CM5" i="5" l="1"/>
  <c r="CC5" i="5"/>
  <c r="BY5" i="5"/>
  <c r="CH5" i="5"/>
  <c r="BW5" i="5"/>
  <c r="BZ5" i="5"/>
  <c r="CL5" i="5"/>
  <c r="CB5" i="6"/>
  <c r="AG9" i="6"/>
  <c r="AG12" i="6" s="1"/>
  <c r="CH10" i="6"/>
  <c r="CN10" i="6"/>
  <c r="O9" i="6"/>
  <c r="O12" i="6" s="1"/>
  <c r="AU9" i="6"/>
  <c r="AU12" i="6" s="1"/>
  <c r="AF9" i="6"/>
  <c r="AF12" i="6" s="1"/>
  <c r="CG10" i="6"/>
  <c r="CG5" i="6" s="1"/>
  <c r="Q9" i="6"/>
  <c r="Q12" i="6" s="1"/>
  <c r="R9" i="6"/>
  <c r="R12" i="6" s="1"/>
  <c r="CI10" i="6"/>
  <c r="CI5" i="6" s="1"/>
  <c r="S9" i="6"/>
  <c r="S12" i="6" s="1"/>
  <c r="AY9" i="6"/>
  <c r="AY12" i="6" s="1"/>
  <c r="D9" i="6"/>
  <c r="D12" i="6" s="1"/>
  <c r="AJ9" i="6"/>
  <c r="AJ12" i="6" s="1"/>
  <c r="CK10" i="6"/>
  <c r="E9" i="6"/>
  <c r="E12" i="6" s="1"/>
  <c r="AK9" i="6"/>
  <c r="AK12" i="6" s="1"/>
  <c r="BV10" i="6"/>
  <c r="BV5" i="6" s="1"/>
  <c r="CL10" i="6"/>
  <c r="F9" i="6"/>
  <c r="F12" i="6" s="1"/>
  <c r="V9" i="6"/>
  <c r="V12" i="6" s="1"/>
  <c r="AL9" i="6"/>
  <c r="AL12" i="6" s="1"/>
  <c r="BW10" i="6"/>
  <c r="BW5" i="6" s="1"/>
  <c r="CM10" i="6"/>
  <c r="CM5" i="6" s="1"/>
  <c r="G9" i="6"/>
  <c r="G12" i="6" s="1"/>
  <c r="W9" i="6"/>
  <c r="W12" i="6" s="1"/>
  <c r="AM9" i="6"/>
  <c r="AM12" i="6" s="1"/>
  <c r="BX10" i="6"/>
  <c r="BX5" i="6" s="1"/>
  <c r="H9" i="6"/>
  <c r="H12" i="6" s="1"/>
  <c r="X9" i="6"/>
  <c r="X12" i="6" s="1"/>
  <c r="AN9" i="6"/>
  <c r="AN12" i="6" s="1"/>
  <c r="BY10" i="6"/>
  <c r="CO10" i="6"/>
  <c r="AE9" i="6"/>
  <c r="AE12" i="6" s="1"/>
  <c r="CF10" i="6"/>
  <c r="CF5" i="6" s="1"/>
  <c r="P9" i="6"/>
  <c r="P12" i="6" s="1"/>
  <c r="AV9" i="6"/>
  <c r="AV12" i="6" s="1"/>
  <c r="AW9" i="6"/>
  <c r="AW12" i="6" s="1"/>
  <c r="B9" i="6"/>
  <c r="B12" i="6" s="1"/>
  <c r="AH9" i="6"/>
  <c r="AH12" i="6" s="1"/>
  <c r="AX9" i="6"/>
  <c r="AX12" i="6" s="1"/>
  <c r="C9" i="6"/>
  <c r="C12" i="6" s="1"/>
  <c r="AI9" i="6"/>
  <c r="AI12" i="6" s="1"/>
  <c r="CJ10" i="6"/>
  <c r="CJ5" i="6" s="1"/>
  <c r="T9" i="6"/>
  <c r="T12" i="6" s="1"/>
  <c r="AZ9" i="6"/>
  <c r="AZ12" i="6" s="1"/>
  <c r="U9" i="6"/>
  <c r="U12" i="6" s="1"/>
  <c r="I9" i="6"/>
  <c r="I12" i="6" s="1"/>
  <c r="Y9" i="6"/>
  <c r="Y12" i="6" s="1"/>
  <c r="AO9" i="6"/>
  <c r="AO12" i="6" s="1"/>
  <c r="BZ10" i="6"/>
  <c r="BZ5" i="6" s="1"/>
  <c r="CP10" i="6"/>
  <c r="CP5" i="6" s="1"/>
  <c r="J9" i="6"/>
  <c r="J12" i="6" s="1"/>
  <c r="Z9" i="6"/>
  <c r="Z12" i="6" s="1"/>
  <c r="AP9" i="6"/>
  <c r="AP12" i="6" s="1"/>
  <c r="CK5" i="5"/>
  <c r="BV5" i="5"/>
  <c r="CG5" i="5"/>
  <c r="CJ5" i="5"/>
  <c r="BX5" i="5"/>
  <c r="CI5" i="5"/>
  <c r="CA5" i="5"/>
  <c r="Q9" i="5"/>
  <c r="Q12" i="5" s="1"/>
  <c r="AG9" i="5"/>
  <c r="AG12" i="5" s="1"/>
  <c r="AW9" i="5"/>
  <c r="AW12" i="5" s="1"/>
  <c r="CD10" i="5"/>
  <c r="CD5" i="5" s="1"/>
  <c r="R9" i="5"/>
  <c r="R12" i="5" s="1"/>
  <c r="AH9" i="5"/>
  <c r="AH12" i="5" s="1"/>
  <c r="AX9" i="5"/>
  <c r="AX12" i="5" s="1"/>
  <c r="CE10" i="5"/>
  <c r="CC10" i="2"/>
  <c r="CD5" i="2"/>
  <c r="BU10" i="2"/>
  <c r="CK10" i="2"/>
  <c r="BU5" i="2"/>
  <c r="BV5" i="2"/>
  <c r="AX9" i="2"/>
  <c r="AW9" i="2"/>
  <c r="AV9" i="2"/>
  <c r="AH9" i="2"/>
  <c r="AG9" i="2"/>
  <c r="AF9" i="2"/>
  <c r="R9" i="2"/>
  <c r="Q9" i="2"/>
  <c r="P9" i="2"/>
  <c r="CB10" i="2"/>
  <c r="AU9" i="2"/>
  <c r="AE9" i="2"/>
  <c r="O9" i="2"/>
  <c r="CA10" i="2"/>
  <c r="L9" i="2"/>
  <c r="AT9" i="2"/>
  <c r="AD9" i="2"/>
  <c r="N9" i="2"/>
  <c r="BZ10" i="2"/>
  <c r="K9" i="2"/>
  <c r="AS9" i="2"/>
  <c r="AC9" i="2"/>
  <c r="M9" i="2"/>
  <c r="BY10" i="2"/>
  <c r="J9" i="2"/>
  <c r="AR9" i="2"/>
  <c r="AB9" i="2"/>
  <c r="BX10" i="2"/>
  <c r="I9" i="2"/>
  <c r="AQ9" i="2"/>
  <c r="AA9" i="2"/>
  <c r="BW10" i="2"/>
  <c r="BW5" i="2" s="1"/>
  <c r="H9" i="2"/>
  <c r="AP9" i="2"/>
  <c r="Z9" i="2"/>
  <c r="G9" i="2"/>
  <c r="AO9" i="2"/>
  <c r="Y9" i="2"/>
  <c r="F9" i="2"/>
  <c r="AN9" i="2"/>
  <c r="X9" i="2"/>
  <c r="CJ10" i="2"/>
  <c r="E9" i="2"/>
  <c r="AM9" i="2"/>
  <c r="W9" i="2"/>
  <c r="CI10" i="2"/>
  <c r="D9" i="2"/>
  <c r="AL9" i="2"/>
  <c r="V9" i="2"/>
  <c r="CH10" i="2"/>
  <c r="BR10" i="2"/>
  <c r="BR5" i="2" s="1"/>
  <c r="C9" i="2"/>
  <c r="AK9" i="2"/>
  <c r="U9" i="2"/>
  <c r="CG10" i="2"/>
  <c r="AZ9" i="2"/>
  <c r="AJ9" i="2"/>
  <c r="T9" i="2"/>
  <c r="CF10" i="2"/>
  <c r="CF5" i="2" s="1"/>
  <c r="AY9" i="2"/>
  <c r="AI9" i="2"/>
  <c r="S9" i="2"/>
  <c r="B9" i="2"/>
  <c r="BO6" i="1"/>
  <c r="BP6" i="1"/>
  <c r="BQ6" i="1"/>
  <c r="BN6" i="1"/>
  <c r="BL6" i="1"/>
  <c r="BM6" i="1"/>
  <c r="BK6" i="1"/>
  <c r="BJ6" i="1"/>
  <c r="BH6" i="1"/>
  <c r="BI6" i="1"/>
  <c r="BG6" i="1"/>
  <c r="BF6" i="1"/>
  <c r="BI9" i="1"/>
  <c r="BF9" i="1"/>
  <c r="BE6" i="1"/>
  <c r="BE9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BG9" i="1"/>
  <c r="BD9" i="1"/>
  <c r="BC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CE5" i="5" l="1"/>
  <c r="CL5" i="6"/>
  <c r="CN5" i="6"/>
  <c r="CH5" i="6"/>
  <c r="CO5" i="6"/>
  <c r="BY5" i="6"/>
  <c r="CK5" i="6"/>
  <c r="CA5" i="6"/>
  <c r="CF5" i="5"/>
  <c r="CI5" i="2"/>
  <c r="CA5" i="2"/>
  <c r="BX5" i="2"/>
  <c r="CJ5" i="2"/>
  <c r="CB5" i="2"/>
  <c r="CC5" i="2"/>
  <c r="CG5" i="2"/>
  <c r="BZ5" i="2"/>
  <c r="BY5" i="2"/>
  <c r="CH5" i="2"/>
  <c r="BS5" i="2"/>
</calcChain>
</file>

<file path=xl/sharedStrings.xml><?xml version="1.0" encoding="utf-8"?>
<sst xmlns="http://schemas.openxmlformats.org/spreadsheetml/2006/main" count="822" uniqueCount="169">
  <si>
    <t>Year</t>
  </si>
  <si>
    <t>2025</t>
  </si>
  <si>
    <t>2026</t>
  </si>
  <si>
    <t>Quarter</t>
  </si>
  <si>
    <t>Q2</t>
  </si>
  <si>
    <t>Q3</t>
  </si>
  <si>
    <t>Q4</t>
  </si>
  <si>
    <t>Q1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</si>
  <si>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</si>
  <si>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</si>
  <si>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</si>
  <si>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</si>
  <si>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</si>
  <si>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</si>
  <si>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</si>
  <si>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</si>
  <si>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</si>
  <si>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</si>
  <si>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</si>
  <si>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</si>
  <si>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Week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</si>
  <si>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</si>
  <si>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</si>
  <si>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</si>
  <si>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</si>
  <si>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</si>
  <si>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</si>
  <si>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</si>
  <si>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</si>
  <si>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</si>
  <si>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</si>
  <si>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</si>
  <si>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</si>
  <si>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</si>
  <si>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</si>
  <si>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</si>
  <si>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</si>
  <si>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</si>
  <si>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</si>
  <si>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</si>
  <si>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</si>
  <si>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</si>
  <si>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</si>
  <si>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</si>
  <si>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</si>
  <si>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</si>
  <si>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</si>
  <si>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</si>
  <si>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</si>
  <si>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</si>
  <si>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</si>
  <si>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</si>
  <si>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</si>
  <si>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</si>
  <si>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</si>
  <si>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</si>
  <si>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</si>
  <si>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</si>
  <si>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</si>
  <si>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</si>
  <si>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</si>
  <si>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</si>
  <si>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</si>
  <si>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</si>
  <si>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</si>
  <si>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</si>
  <si>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</si>
  <si>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</si>
  <si>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</si>
  <si>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</si>
  <si>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Plan Weekly %</t>
  </si>
  <si>
    <t>Actual Weekly %</t>
  </si>
  <si>
    <t>Plan Accum  %</t>
  </si>
  <si>
    <t>Actual  Accum %</t>
  </si>
  <si>
    <t>Variance</t>
  </si>
  <si>
    <t>Catch up Plan</t>
  </si>
  <si>
    <t>Mar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</si>
  <si>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</si>
  <si>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</si>
  <si>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</si>
  <si>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</si>
  <si>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</si>
  <si>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</si>
  <si>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</si>
  <si>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</si>
  <si>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</si>
  <si>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</si>
  <si>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</si>
  <si>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</si>
  <si>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June</t>
  </si>
  <si>
    <t>W62</t>
  </si>
  <si>
    <t>W63</t>
  </si>
  <si>
    <t>W64</t>
  </si>
  <si>
    <t>July</t>
  </si>
  <si>
    <t>W65</t>
  </si>
  <si>
    <t>W66</t>
  </si>
  <si>
    <t>W67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</si>
  <si>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</si>
  <si>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</si>
  <si>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</si>
  <si>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</si>
  <si>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</si>
  <si>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</si>
  <si>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</si>
  <si>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</si>
  <si>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</si>
  <si>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</si>
  <si>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</si>
  <si>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</si>
  <si>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</si>
  <si>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</si>
  <si>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</si>
  <si>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</si>
  <si>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</si>
  <si>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</si>
  <si>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</si>
  <si>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</si>
  <si>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</si>
  <si>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</si>
  <si>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</si>
  <si>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</si>
  <si>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</si>
  <si>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</si>
  <si>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</si>
  <si>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</si>
  <si>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</si>
  <si>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</si>
  <si>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</si>
  <si>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</si>
  <si>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</si>
  <si>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</si>
  <si>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</si>
  <si>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</si>
  <si>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</si>
  <si>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</si>
  <si>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</si>
  <si>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</si>
  <si>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</si>
  <si>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</si>
  <si>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</si>
  <si>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</si>
  <si>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</si>
  <si>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</si>
  <si>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</si>
  <si>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</si>
  <si>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</si>
  <si>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</si>
  <si>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</si>
  <si>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</si>
  <si>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</si>
  <si>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</si>
  <si>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</si>
  <si>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</si>
  <si>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</si>
  <si>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</si>
  <si>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</si>
  <si>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</si>
  <si>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1</t>
  </si>
  <si>
    <t>Baseline</t>
  </si>
  <si>
    <t>Baseline #2</t>
  </si>
  <si>
    <t>Baseline %</t>
  </si>
  <si>
    <t>Baseline #2 %</t>
  </si>
  <si>
    <t>Actual</t>
  </si>
  <si>
    <t>Planned Weekly</t>
  </si>
  <si>
    <t>Actual Weekly</t>
  </si>
  <si>
    <t>Baseline #2 % Accu.</t>
  </si>
  <si>
    <t>Actual Accu.</t>
  </si>
  <si>
    <t>Baseline % Accu.</t>
  </si>
  <si>
    <t>Current week highligter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</si>
</sst>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 tint="-0.249977111117893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999999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9" fontId="3" fillId="0" borderId="1" xfId="0" applyNumberFormat="1" applyFont="1" applyBorder="1"/>
    <xf numFmtId="9" fontId="2" fillId="0" borderId="1" xfId="1" applyFont="1" applyBorder="1" applyAlignment="1">
      <alignment horizontal="left" vertical="center"/>
    </xf>
    <xf numFmtId="9" fontId="3" fillId="0" borderId="1" xfId="1" applyFont="1" applyFill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4" fillId="0" borderId="1" xfId="1" applyFont="1" applyFill="1" applyBorder="1" applyAlignment="1">
      <alignment horizontal="center" vertical="center"/>
    </xf>
    <xf numFmtId="0" fontId="3" fillId="0" borderId="0" xfId="0" applyFont="1"/>
    <xf numFmtId="9" fontId="3" fillId="0" borderId="0" xfId="0" applyNumberFormat="1" applyFont="1"/>
    <xf numFmtId="164" fontId="0" fillId="0" borderId="0" xfId="1" applyNumberFormat="1" applyFont="1"/>
    <xf numFmtId="9" fontId="3" fillId="0" borderId="1" xfId="1" applyNumberFormat="1" applyFont="1" applyFill="1" applyBorder="1" applyAlignment="1">
      <alignment horizontal="center" vertical="center"/>
    </xf>
    <xf numFmtId="9" fontId="3" fillId="3" borderId="1" xfId="1" applyFont="1" applyFill="1" applyBorder="1" applyAlignment="1">
      <alignment horizontal="center" vertical="center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Border="1"/>
    <xf numFmtId="9" fontId="4" fillId="0" borderId="0" xfId="1" applyFont="1" applyFill="1" applyBorder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9" fontId="3" fillId="0" borderId="0" xfId="1" applyFont="1" applyFill="1" applyBorder="1" applyAlignment="1">
      <alignment horizontal="center" vertical="center"/>
    </xf>
    <xf numFmtId="0" fontId="1" fillId="0" borderId="0" xfId="0" applyFont="1"/>
    <xf numFmtId="9" fontId="0" fillId="0" borderId="0" xfId="0" applyNumberFormat="1"/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/>
    <xf numFmtId="9" fontId="3" fillId="3" borderId="0" xfId="1" applyFont="1" applyFill="1" applyBorder="1" applyAlignment="1">
      <alignment horizontal="center" vertical="center"/>
    </xf>
    <xf numFmtId="10" fontId="3" fillId="0" borderId="1" xfId="1" applyNumberFormat="1" applyFont="1" applyFill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1" fontId="3" fillId="0" borderId="1" xfId="0" applyNumberFormat="1" applyFont="1" applyBorder="1"/>
    <xf numFmtId="1" fontId="0" fillId="0" borderId="1" xfId="0" applyNumberFormat="1" applyBorder="1"/>
    <xf numFmtId="1" fontId="3" fillId="0" borderId="1" xfId="0" applyNumberFormat="1" applyFont="1" applyBorder="1" applyAlignment="1">
      <alignment horizontal="centerContinuous"/>
    </xf>
    <xf numFmtId="0" fontId="3" fillId="0" borderId="4" xfId="0" applyFont="1" applyBorder="1"/>
    <xf numFmtId="0" fontId="3" fillId="0" borderId="5" xfId="0" applyFont="1" applyBorder="1"/>
    <xf numFmtId="1" fontId="0" fillId="0" borderId="6" xfId="0" applyNumberFormat="1" applyBorder="1"/>
    <xf numFmtId="1" fontId="3" fillId="0" borderId="7" xfId="0" applyNumberFormat="1" applyFont="1" applyBorder="1" applyAlignment="1">
      <alignment horizontal="centerContinuous"/>
    </xf>
    <xf numFmtId="1" fontId="3" fillId="0" borderId="8" xfId="0" applyNumberFormat="1" applyFont="1" applyBorder="1" applyAlignment="1">
      <alignment horizontal="centerContinuous"/>
    </xf>
    <xf numFmtId="1" fontId="1" fillId="0" borderId="9" xfId="0" applyNumberFormat="1" applyFont="1" applyBorder="1"/>
    <xf numFmtId="1" fontId="3" fillId="0" borderId="10" xfId="0" applyNumberFormat="1" applyFont="1" applyBorder="1" applyAlignment="1">
      <alignment horizontal="centerContinuous"/>
    </xf>
    <xf numFmtId="1" fontId="3" fillId="0" borderId="11" xfId="0" applyNumberFormat="1" applyFont="1" applyBorder="1" applyAlignment="1">
      <alignment horizontal="centerContinuous"/>
    </xf>
    <xf numFmtId="1" fontId="0" fillId="0" borderId="9" xfId="0" applyNumberFormat="1" applyBorder="1"/>
    <xf numFmtId="1" fontId="3" fillId="0" borderId="10" xfId="0" applyNumberFormat="1" applyFont="1" applyBorder="1"/>
    <xf numFmtId="1" fontId="3" fillId="0" borderId="11" xfId="0" applyNumberFormat="1" applyFont="1" applyBorder="1"/>
    <xf numFmtId="9" fontId="3" fillId="0" borderId="10" xfId="1" applyFont="1" applyBorder="1" applyAlignment="1">
      <alignment horizontal="center" vertical="center"/>
    </xf>
    <xf numFmtId="9" fontId="3" fillId="0" borderId="10" xfId="1" applyFont="1" applyBorder="1"/>
    <xf numFmtId="10" fontId="3" fillId="0" borderId="10" xfId="1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0" fillId="0" borderId="10" xfId="0" applyNumberFormat="1" applyBorder="1"/>
    <xf numFmtId="1" fontId="0" fillId="0" borderId="11" xfId="0" applyNumberFormat="1" applyBorder="1"/>
    <xf numFmtId="0" fontId="3" fillId="0" borderId="10" xfId="0" applyFont="1" applyBorder="1"/>
    <xf numFmtId="0" fontId="3" fillId="0" borderId="12" xfId="0" applyFont="1" applyBorder="1"/>
    <xf numFmtId="10" fontId="3" fillId="0" borderId="11" xfId="1" applyNumberFormat="1" applyFont="1" applyBorder="1" applyAlignment="1">
      <alignment horizontal="center" vertical="center"/>
    </xf>
    <xf numFmtId="1" fontId="1" fillId="0" borderId="9" xfId="0" applyNumberFormat="1" applyFont="1" applyFill="1" applyBorder="1"/>
    <xf numFmtId="0" fontId="0" fillId="0" borderId="10" xfId="0" applyBorder="1"/>
    <xf numFmtId="0" fontId="0" fillId="0" borderId="11" xfId="0" applyBorder="1"/>
    <xf numFmtId="1" fontId="1" fillId="0" borderId="13" xfId="0" applyNumberFormat="1" applyFont="1" applyFill="1" applyBorder="1"/>
    <xf numFmtId="10" fontId="3" fillId="0" borderId="14" xfId="1" applyNumberFormat="1" applyFont="1" applyBorder="1" applyAlignment="1">
      <alignment horizontal="center" vertical="center"/>
    </xf>
    <xf numFmtId="10" fontId="3" fillId="0" borderId="15" xfId="1" applyNumberFormat="1" applyFont="1" applyBorder="1" applyAlignment="1">
      <alignment horizontal="center" vertical="center"/>
    </xf>
    <xf numFmtId="1" fontId="5" fillId="0" borderId="10" xfId="0" applyNumberFormat="1" applyFont="1" applyBorder="1" applyAlignment="1"/>
    <xf numFmtId="1" fontId="5" fillId="0" borderId="11" xfId="0" applyNumberFormat="1" applyFont="1" applyBorder="1" applyAlignment="1"/>
    <xf numFmtId="0" fontId="3" fillId="0" borderId="2" xfId="0" applyFont="1" applyBorder="1"/>
    <xf numFmtId="0" fontId="3" fillId="0" borderId="3" xfId="0" applyFont="1" applyBorder="1"/>
    <xf numFmtId="0" fontId="3" fillId="0" borderId="16" xfId="0" applyFont="1" applyBorder="1"/>
    <xf numFmtId="0" fontId="3" fillId="0" borderId="17" xfId="0" applyFont="1" applyBorder="1"/>
    <xf numFmtId="10" fontId="3" fillId="0" borderId="0" xfId="1" applyNumberFormat="1" applyFont="1"/>
    <xf numFmtId="10" fontId="3" fillId="0" borderId="10" xfId="1" applyNumberFormat="1" applyFont="1" applyBorder="1"/>
    <xf numFmtId="9" fontId="3" fillId="0" borderId="10" xfId="1" applyNumberFormat="1" applyFont="1" applyBorder="1" applyAlignment="1">
      <alignment horizontal="center" vertical="center"/>
    </xf>
    <xf numFmtId="10" fontId="3" fillId="0" borderId="0" xfId="1" applyNumberFormat="1" applyFont="1" applyFill="1" applyBorder="1" applyAlignment="1">
      <alignment horizontal="center" vertical="center"/>
    </xf>
    <xf numFmtId="1" fontId="1" fillId="0" borderId="18" xfId="0" applyNumberFormat="1" applyFont="1" applyFill="1" applyBorder="1"/>
    <xf numFmtId="9" fontId="3" fillId="0" borderId="1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FF00"/>
      <color rgb="FF254E79"/>
      <color rgb="FF44C274"/>
      <color rgb="FF17365D"/>
      <color rgb="FFB9BD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ELECTRICAL INSTALLATION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(2)'!$A$5</c:f>
              <c:strCache>
                <c:ptCount val="1"/>
                <c:pt idx="0">
                  <c:v>Plan Weekly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'S-Curve (2)'!$B$3:$BQ$4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(2)'!$B$5:$BQ$5</c:f>
              <c:numCache>
                <c:formatCode>0%</c:formatCode>
                <c:ptCount val="68"/>
                <c:pt idx="0">
                  <c:v>2.9215358931552588E-3</c:v>
                </c:pt>
                <c:pt idx="1">
                  <c:v>4.1736227045075132E-3</c:v>
                </c:pt>
                <c:pt idx="2">
                  <c:v>4.1736227045075123E-3</c:v>
                </c:pt>
                <c:pt idx="3">
                  <c:v>4.1736227045075132E-3</c:v>
                </c:pt>
                <c:pt idx="4">
                  <c:v>4.1736227045075132E-3</c:v>
                </c:pt>
                <c:pt idx="5">
                  <c:v>4.1736227045075097E-3</c:v>
                </c:pt>
                <c:pt idx="6">
                  <c:v>4.1736227045075132E-3</c:v>
                </c:pt>
                <c:pt idx="7">
                  <c:v>4.1736227045075167E-3</c:v>
                </c:pt>
                <c:pt idx="8">
                  <c:v>4.1736227045075097E-3</c:v>
                </c:pt>
                <c:pt idx="9">
                  <c:v>4.1736227045075097E-3</c:v>
                </c:pt>
                <c:pt idx="10">
                  <c:v>4.1736227045075167E-3</c:v>
                </c:pt>
                <c:pt idx="11">
                  <c:v>4.1736227045075097E-3</c:v>
                </c:pt>
                <c:pt idx="12">
                  <c:v>6.3126043405676152E-3</c:v>
                </c:pt>
                <c:pt idx="13">
                  <c:v>6.5734557595993337E-3</c:v>
                </c:pt>
                <c:pt idx="14">
                  <c:v>4.9040066777963215E-3</c:v>
                </c:pt>
                <c:pt idx="15">
                  <c:v>6.5734557595993337E-3</c:v>
                </c:pt>
                <c:pt idx="16">
                  <c:v>6.5734557595993337E-3</c:v>
                </c:pt>
                <c:pt idx="17">
                  <c:v>6.5734557595993337E-3</c:v>
                </c:pt>
                <c:pt idx="18">
                  <c:v>6.3647746243739589E-3</c:v>
                </c:pt>
                <c:pt idx="19">
                  <c:v>2.5980801335559259E-2</c:v>
                </c:pt>
                <c:pt idx="20">
                  <c:v>2.0607262103505844E-2</c:v>
                </c:pt>
                <c:pt idx="21">
                  <c:v>1.9720367278798001E-2</c:v>
                </c:pt>
                <c:pt idx="22">
                  <c:v>1.9563856427378956E-2</c:v>
                </c:pt>
                <c:pt idx="23">
                  <c:v>1.9720367278798001E-2</c:v>
                </c:pt>
                <c:pt idx="24">
                  <c:v>1.9720367278798001E-2</c:v>
                </c:pt>
                <c:pt idx="25">
                  <c:v>1.9720367278798001E-2</c:v>
                </c:pt>
                <c:pt idx="26">
                  <c:v>1.9720367278797973E-2</c:v>
                </c:pt>
                <c:pt idx="27">
                  <c:v>1.7998747913188673E-2</c:v>
                </c:pt>
                <c:pt idx="28">
                  <c:v>1.9407345575959911E-2</c:v>
                </c:pt>
                <c:pt idx="29">
                  <c:v>1.9720367278798001E-2</c:v>
                </c:pt>
                <c:pt idx="30">
                  <c:v>1.9720367278798001E-2</c:v>
                </c:pt>
                <c:pt idx="31">
                  <c:v>1.9720367278798001E-2</c:v>
                </c:pt>
                <c:pt idx="32">
                  <c:v>1.9720367278798001E-2</c:v>
                </c:pt>
                <c:pt idx="33">
                  <c:v>1.9720367278798001E-2</c:v>
                </c:pt>
                <c:pt idx="34">
                  <c:v>1.9720367278798001E-2</c:v>
                </c:pt>
                <c:pt idx="35">
                  <c:v>1.9720367278798001E-2</c:v>
                </c:pt>
                <c:pt idx="36">
                  <c:v>6.3752086811352249E-2</c:v>
                </c:pt>
                <c:pt idx="37">
                  <c:v>6.6204090150250416E-2</c:v>
                </c:pt>
                <c:pt idx="38">
                  <c:v>4.3823038397328817E-2</c:v>
                </c:pt>
                <c:pt idx="39">
                  <c:v>3.8710350584307274E-2</c:v>
                </c:pt>
                <c:pt idx="40">
                  <c:v>6.5786727879799667E-2</c:v>
                </c:pt>
                <c:pt idx="41">
                  <c:v>6.5056343906510827E-2</c:v>
                </c:pt>
                <c:pt idx="42">
                  <c:v>6.1560934891485841E-2</c:v>
                </c:pt>
                <c:pt idx="43">
                  <c:v>5.2118113522537479E-2</c:v>
                </c:pt>
                <c:pt idx="44">
                  <c:v>3.9179883138564353E-2</c:v>
                </c:pt>
                <c:pt idx="45">
                  <c:v>2.8380634390651083E-2</c:v>
                </c:pt>
                <c:pt idx="46">
                  <c:v>2.2068030050083398E-2</c:v>
                </c:pt>
                <c:pt idx="47">
                  <c:v>1.7529215358931594E-2</c:v>
                </c:pt>
                <c:pt idx="48">
                  <c:v>2.9215358931552471E-3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D-4645-BA6C-C744FA2127C6}"/>
            </c:ext>
          </c:extLst>
        </c:ser>
        <c:ser>
          <c:idx val="1"/>
          <c:order val="1"/>
          <c:tx>
            <c:strRef>
              <c:f>'S-Curve (2)'!$A$6</c:f>
              <c:strCache>
                <c:ptCount val="1"/>
                <c:pt idx="0">
                  <c:v>Actual Weekly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'S-Curve (2)'!$B$3:$BQ$4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(2)'!$B$6:$BQ$6</c:f>
              <c:numCache>
                <c:formatCode>0%</c:formatCode>
                <c:ptCount val="68"/>
                <c:pt idx="0">
                  <c:v>2.9215358931552588E-3</c:v>
                </c:pt>
                <c:pt idx="1">
                  <c:v>4.1736227045075132E-3</c:v>
                </c:pt>
                <c:pt idx="2">
                  <c:v>4.1736227045075123E-3</c:v>
                </c:pt>
                <c:pt idx="3">
                  <c:v>4.1736227045075132E-3</c:v>
                </c:pt>
                <c:pt idx="4">
                  <c:v>4.1736227045075132E-3</c:v>
                </c:pt>
                <c:pt idx="5">
                  <c:v>4.1736227045075097E-3</c:v>
                </c:pt>
                <c:pt idx="6">
                  <c:v>4.1736227045075132E-3</c:v>
                </c:pt>
                <c:pt idx="7">
                  <c:v>4.1736227045075167E-3</c:v>
                </c:pt>
                <c:pt idx="8">
                  <c:v>4.1736227045075097E-3</c:v>
                </c:pt>
                <c:pt idx="9">
                  <c:v>4.1736227045075097E-3</c:v>
                </c:pt>
                <c:pt idx="10">
                  <c:v>4.1736227045075167E-3</c:v>
                </c:pt>
                <c:pt idx="11">
                  <c:v>4.1736227045075097E-3</c:v>
                </c:pt>
                <c:pt idx="12">
                  <c:v>6.3126043405676152E-3</c:v>
                </c:pt>
                <c:pt idx="13">
                  <c:v>6.5734557595993337E-3</c:v>
                </c:pt>
                <c:pt idx="14">
                  <c:v>4.9040066777963215E-3</c:v>
                </c:pt>
                <c:pt idx="15">
                  <c:v>6.5734557595993337E-3</c:v>
                </c:pt>
                <c:pt idx="16">
                  <c:v>6.5734557595993337E-3</c:v>
                </c:pt>
                <c:pt idx="17" formatCode="0.00%">
                  <c:v>7.8777128547579262E-3</c:v>
                </c:pt>
                <c:pt idx="18" formatCode="0.00%">
                  <c:v>1.6277128547579345E-3</c:v>
                </c:pt>
                <c:pt idx="19" formatCode="0.00%">
                  <c:v>4.632721202003337E-3</c:v>
                </c:pt>
                <c:pt idx="20" formatCode="0.00%">
                  <c:v>5.0083472454090089E-3</c:v>
                </c:pt>
                <c:pt idx="21" formatCode="0.00%">
                  <c:v>5.6761268781302249E-3</c:v>
                </c:pt>
                <c:pt idx="22" formatCode="0.00%">
                  <c:v>1.0016694490817962E-3</c:v>
                </c:pt>
                <c:pt idx="23" formatCode="0.00%">
                  <c:v>2.399833055091824E-3</c:v>
                </c:pt>
                <c:pt idx="24" formatCode="0.00%">
                  <c:v>2.6919866444073404E-3</c:v>
                </c:pt>
                <c:pt idx="25" formatCode="0.00%">
                  <c:v>1.4816360601001693E-3</c:v>
                </c:pt>
                <c:pt idx="26" formatCode="0.00%">
                  <c:v>2.0868113522537618E-3</c:v>
                </c:pt>
                <c:pt idx="27" formatCode="0.00%">
                  <c:v>1.043405676126874E-3</c:v>
                </c:pt>
                <c:pt idx="28" formatCode="0.00%">
                  <c:v>2.6085141903171988E-3</c:v>
                </c:pt>
                <c:pt idx="29" formatCode="0.00%">
                  <c:v>1.2520868113522488E-3</c:v>
                </c:pt>
                <c:pt idx="30" formatCode="0.00%">
                  <c:v>8.3472454090151305E-4</c:v>
                </c:pt>
                <c:pt idx="31" formatCode="0.00%">
                  <c:v>4.6953255425709467E-3</c:v>
                </c:pt>
                <c:pt idx="32" formatCode="0.00%">
                  <c:v>1.9720367278798001E-2</c:v>
                </c:pt>
                <c:pt idx="33" formatCode="0.00%">
                  <c:v>9.3489148580968018E-3</c:v>
                </c:pt>
                <c:pt idx="34" formatCode="0.00%">
                  <c:v>1.1936560565943249E-2</c:v>
                </c:pt>
                <c:pt idx="35" formatCode="0.00%">
                  <c:v>1.4482471153589305E-2</c:v>
                </c:pt>
                <c:pt idx="36" formatCode="0.00%">
                  <c:v>9.6828046744574514E-3</c:v>
                </c:pt>
                <c:pt idx="37" formatCode="0.00%">
                  <c:v>2.9632721202003387E-3</c:v>
                </c:pt>
                <c:pt idx="38" formatCode="0.00%">
                  <c:v>2.9632721202003109E-3</c:v>
                </c:pt>
                <c:pt idx="39" formatCode="0.00%">
                  <c:v>1.1769616026711227E-2</c:v>
                </c:pt>
                <c:pt idx="40" formatCode="0.00%">
                  <c:v>2.9173622704507518E-2</c:v>
                </c:pt>
                <c:pt idx="41" formatCode="0.00%">
                  <c:v>8.7228714524206219E-3</c:v>
                </c:pt>
                <c:pt idx="42" formatCode="0.00%">
                  <c:v>4.0667779632721224E-2</c:v>
                </c:pt>
                <c:pt idx="43" formatCode="0.00%">
                  <c:v>1.653589315525883E-2</c:v>
                </c:pt>
                <c:pt idx="44" formatCode="0.00%">
                  <c:v>1.3973288814691176E-2</c:v>
                </c:pt>
                <c:pt idx="45" formatCode="0.00%">
                  <c:v>1.8313856427378927E-2</c:v>
                </c:pt>
                <c:pt idx="46" formatCode="0.00%">
                  <c:v>1.0000000000000564E-3</c:v>
                </c:pt>
                <c:pt idx="47" formatCode="0.00%">
                  <c:v>1.2731218697829727E-2</c:v>
                </c:pt>
                <c:pt idx="48" formatCode="0.00%">
                  <c:v>2.2954924874791283E-2</c:v>
                </c:pt>
                <c:pt idx="49" formatCode="0.00%">
                  <c:v>8.3722871452420189E-3</c:v>
                </c:pt>
                <c:pt idx="50" formatCode="0.00%">
                  <c:v>1.0000000000000009E-2</c:v>
                </c:pt>
                <c:pt idx="51" formatCode="0.00%">
                  <c:v>1.0000000000000009E-2</c:v>
                </c:pt>
                <c:pt idx="52" formatCode="0.00%">
                  <c:v>5.9868959868960014E-3</c:v>
                </c:pt>
                <c:pt idx="53" formatCode="0.00%">
                  <c:v>3.9931301008095554E-2</c:v>
                </c:pt>
                <c:pt idx="54" formatCode="0.00%">
                  <c:v>4.2378964941569397E-2</c:v>
                </c:pt>
                <c:pt idx="55" formatCode="0.00%">
                  <c:v>3.262938230383966E-2</c:v>
                </c:pt>
                <c:pt idx="56" formatCode="0.00%">
                  <c:v>7.879799759599404E-3</c:v>
                </c:pt>
                <c:pt idx="57" formatCode="0.00%">
                  <c:v>1.3722871358931577E-2</c:v>
                </c:pt>
                <c:pt idx="58" formatCode="0.00%">
                  <c:v>1.0041736227045073E-2</c:v>
                </c:pt>
                <c:pt idx="59" formatCode="0.00%">
                  <c:v>1.1661101836394017E-2</c:v>
                </c:pt>
                <c:pt idx="60" formatCode="0.00%">
                  <c:v>7.3038395776292564E-3</c:v>
                </c:pt>
                <c:pt idx="61" formatCode="0.00%">
                  <c:v>7.8464108397328092E-3</c:v>
                </c:pt>
                <c:pt idx="62" formatCode="0.00%">
                  <c:v>1.0617696160267198E-2</c:v>
                </c:pt>
                <c:pt idx="63" formatCode="0.00%">
                  <c:v>5.2003340000000842E-3</c:v>
                </c:pt>
                <c:pt idx="64" formatCode="0.00%">
                  <c:v>3.0050079999999202E-3</c:v>
                </c:pt>
                <c:pt idx="65" formatCode="0.00%">
                  <c:v>1.1427379202003429E-2</c:v>
                </c:pt>
                <c:pt idx="66" formatCode="0.00%">
                  <c:v>3.0884808013356135E-3</c:v>
                </c:pt>
                <c:pt idx="67" formatCode="0.00%">
                  <c:v>5.008347245408995E-3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D-4645-BA6C-C744FA212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9"/>
        <c:axId val="589151599"/>
        <c:axId val="589149519"/>
      </c:barChart>
      <c:lineChart>
        <c:grouping val="standard"/>
        <c:varyColors val="0"/>
        <c:ser>
          <c:idx val="2"/>
          <c:order val="2"/>
          <c:tx>
            <c:strRef>
              <c:f>'S-Curve (2)'!$A$7</c:f>
              <c:strCache>
                <c:ptCount val="1"/>
                <c:pt idx="0">
                  <c:v>Plan Accum 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'S-Curve (2)'!$B$3:$BQ$4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(2)'!$B$7:$BQ$7</c:f>
              <c:numCache>
                <c:formatCode>0%</c:formatCode>
                <c:ptCount val="68"/>
                <c:pt idx="0">
                  <c:v>2.9215358931552588E-3</c:v>
                </c:pt>
                <c:pt idx="1">
                  <c:v>7.0951585976627716E-3</c:v>
                </c:pt>
                <c:pt idx="2">
                  <c:v>1.1268781302170284E-2</c:v>
                </c:pt>
                <c:pt idx="3">
                  <c:v>1.5442404006677797E-2</c:v>
                </c:pt>
                <c:pt idx="4">
                  <c:v>1.961602671118531E-2</c:v>
                </c:pt>
                <c:pt idx="5">
                  <c:v>2.378964941569282E-2</c:v>
                </c:pt>
                <c:pt idx="6">
                  <c:v>2.7963272120200333E-2</c:v>
                </c:pt>
                <c:pt idx="7">
                  <c:v>3.213689482470785E-2</c:v>
                </c:pt>
                <c:pt idx="8">
                  <c:v>3.631051752921536E-2</c:v>
                </c:pt>
                <c:pt idx="9">
                  <c:v>4.0484140233722869E-2</c:v>
                </c:pt>
                <c:pt idx="10">
                  <c:v>4.4657762938230386E-2</c:v>
                </c:pt>
                <c:pt idx="11">
                  <c:v>4.8831385642737896E-2</c:v>
                </c:pt>
                <c:pt idx="12">
                  <c:v>5.5143989983305511E-2</c:v>
                </c:pt>
                <c:pt idx="13">
                  <c:v>6.1717445742904845E-2</c:v>
                </c:pt>
                <c:pt idx="14">
                  <c:v>6.6621452420701166E-2</c:v>
                </c:pt>
                <c:pt idx="15">
                  <c:v>7.31949081803005E-2</c:v>
                </c:pt>
                <c:pt idx="16">
                  <c:v>7.9768363939899833E-2</c:v>
                </c:pt>
                <c:pt idx="17">
                  <c:v>8.6341819699499167E-2</c:v>
                </c:pt>
                <c:pt idx="18">
                  <c:v>9.2706594323873126E-2</c:v>
                </c:pt>
                <c:pt idx="19">
                  <c:v>0.11868739565943238</c:v>
                </c:pt>
                <c:pt idx="20">
                  <c:v>0.13929465776293823</c:v>
                </c:pt>
                <c:pt idx="21">
                  <c:v>0.15901502504173623</c:v>
                </c:pt>
                <c:pt idx="22">
                  <c:v>0.17857888146911519</c:v>
                </c:pt>
                <c:pt idx="23">
                  <c:v>0.19829924874791319</c:v>
                </c:pt>
                <c:pt idx="24">
                  <c:v>0.21801961602671119</c:v>
                </c:pt>
                <c:pt idx="25">
                  <c:v>0.23773998330550919</c:v>
                </c:pt>
                <c:pt idx="26">
                  <c:v>0.25746035058430716</c:v>
                </c:pt>
                <c:pt idx="27">
                  <c:v>0.27545909849749584</c:v>
                </c:pt>
                <c:pt idx="28">
                  <c:v>0.29486644407345575</c:v>
                </c:pt>
                <c:pt idx="29">
                  <c:v>0.31458681135225375</c:v>
                </c:pt>
                <c:pt idx="30">
                  <c:v>0.33430717863105175</c:v>
                </c:pt>
                <c:pt idx="31">
                  <c:v>0.35402754590984975</c:v>
                </c:pt>
                <c:pt idx="32">
                  <c:v>0.37374791318864775</c:v>
                </c:pt>
                <c:pt idx="33">
                  <c:v>0.39346828046744575</c:v>
                </c:pt>
                <c:pt idx="34">
                  <c:v>0.41318864774624375</c:v>
                </c:pt>
                <c:pt idx="35">
                  <c:v>0.43290901502504175</c:v>
                </c:pt>
                <c:pt idx="36">
                  <c:v>0.496661101836394</c:v>
                </c:pt>
                <c:pt idx="37">
                  <c:v>0.56286519198664442</c:v>
                </c:pt>
                <c:pt idx="38">
                  <c:v>0.60668823038397324</c:v>
                </c:pt>
                <c:pt idx="39">
                  <c:v>0.64539858096828051</c:v>
                </c:pt>
                <c:pt idx="40">
                  <c:v>0.71118530884808018</c:v>
                </c:pt>
                <c:pt idx="41">
                  <c:v>0.776241652754591</c:v>
                </c:pt>
                <c:pt idx="42">
                  <c:v>0.83780258764607685</c:v>
                </c:pt>
                <c:pt idx="43">
                  <c:v>0.88992070116861433</c:v>
                </c:pt>
                <c:pt idx="44">
                  <c:v>0.92910058430717868</c:v>
                </c:pt>
                <c:pt idx="45">
                  <c:v>0.95748121869782976</c:v>
                </c:pt>
                <c:pt idx="46">
                  <c:v>0.97954924874791316</c:v>
                </c:pt>
                <c:pt idx="47">
                  <c:v>0.99707846410684475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AD-4645-BA6C-C744FA2127C6}"/>
            </c:ext>
          </c:extLst>
        </c:ser>
        <c:ser>
          <c:idx val="3"/>
          <c:order val="3"/>
          <c:tx>
            <c:strRef>
              <c:f>'S-Curve (2)'!$A$8</c:f>
              <c:strCache>
                <c:ptCount val="1"/>
                <c:pt idx="0">
                  <c:v>Actual  Accum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'S-Curve (2)'!$B$3:$BQ$4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(2)'!$B$8:$BQ$8</c:f>
              <c:numCache>
                <c:formatCode>0%</c:formatCode>
                <c:ptCount val="68"/>
                <c:pt idx="0">
                  <c:v>2.9215358931552588E-3</c:v>
                </c:pt>
                <c:pt idx="1">
                  <c:v>7.0951585976627716E-3</c:v>
                </c:pt>
                <c:pt idx="2">
                  <c:v>1.1268781302170284E-2</c:v>
                </c:pt>
                <c:pt idx="3">
                  <c:v>1.5442404006677797E-2</c:v>
                </c:pt>
                <c:pt idx="4">
                  <c:v>1.961602671118531E-2</c:v>
                </c:pt>
                <c:pt idx="5">
                  <c:v>2.378964941569282E-2</c:v>
                </c:pt>
                <c:pt idx="6">
                  <c:v>2.7963272120200333E-2</c:v>
                </c:pt>
                <c:pt idx="7">
                  <c:v>3.213689482470785E-2</c:v>
                </c:pt>
                <c:pt idx="8">
                  <c:v>3.631051752921536E-2</c:v>
                </c:pt>
                <c:pt idx="9">
                  <c:v>4.0484140233722869E-2</c:v>
                </c:pt>
                <c:pt idx="10">
                  <c:v>4.4657762938230386E-2</c:v>
                </c:pt>
                <c:pt idx="11">
                  <c:v>4.8831385642737896E-2</c:v>
                </c:pt>
                <c:pt idx="12">
                  <c:v>5.5143989983305511E-2</c:v>
                </c:pt>
                <c:pt idx="13">
                  <c:v>6.1717445742904845E-2</c:v>
                </c:pt>
                <c:pt idx="14">
                  <c:v>6.6621452420701166E-2</c:v>
                </c:pt>
                <c:pt idx="15">
                  <c:v>7.31949081803005E-2</c:v>
                </c:pt>
                <c:pt idx="16">
                  <c:v>7.9768363939899833E-2</c:v>
                </c:pt>
                <c:pt idx="17">
                  <c:v>8.764607679465776E-2</c:v>
                </c:pt>
                <c:pt idx="18">
                  <c:v>8.9273789649415694E-2</c:v>
                </c:pt>
                <c:pt idx="19">
                  <c:v>9.3906510851419031E-2</c:v>
                </c:pt>
                <c:pt idx="20">
                  <c:v>9.891485809682804E-2</c:v>
                </c:pt>
                <c:pt idx="21">
                  <c:v>0.10459098497495826</c:v>
                </c:pt>
                <c:pt idx="22">
                  <c:v>0.10559265442404006</c:v>
                </c:pt>
                <c:pt idx="23">
                  <c:v>0.10799248747913189</c:v>
                </c:pt>
                <c:pt idx="24">
                  <c:v>0.11068447412353923</c:v>
                </c:pt>
                <c:pt idx="25">
                  <c:v>0.11216611018363939</c:v>
                </c:pt>
                <c:pt idx="26">
                  <c:v>0.11425292153589316</c:v>
                </c:pt>
                <c:pt idx="27">
                  <c:v>0.11529632721202003</c:v>
                </c:pt>
                <c:pt idx="28">
                  <c:v>0.11790484140233723</c:v>
                </c:pt>
                <c:pt idx="29">
                  <c:v>0.11915692821368948</c:v>
                </c:pt>
                <c:pt idx="30">
                  <c:v>0.11999165275459099</c:v>
                </c:pt>
                <c:pt idx="31">
                  <c:v>0.12468697829716194</c:v>
                </c:pt>
                <c:pt idx="32">
                  <c:v>0.14440734557595994</c:v>
                </c:pt>
                <c:pt idx="33">
                  <c:v>0.15375626043405674</c:v>
                </c:pt>
                <c:pt idx="34">
                  <c:v>0.16569282099999999</c:v>
                </c:pt>
                <c:pt idx="35">
                  <c:v>0.18017529215358929</c:v>
                </c:pt>
                <c:pt idx="36">
                  <c:v>0.18985809682804675</c:v>
                </c:pt>
                <c:pt idx="37">
                  <c:v>0.19282136894824708</c:v>
                </c:pt>
                <c:pt idx="38">
                  <c:v>0.1957846410684474</c:v>
                </c:pt>
                <c:pt idx="39">
                  <c:v>0.20755425709515862</c:v>
                </c:pt>
                <c:pt idx="40">
                  <c:v>0.23672787979966614</c:v>
                </c:pt>
                <c:pt idx="41">
                  <c:v>0.24545075125208676</c:v>
                </c:pt>
                <c:pt idx="42">
                  <c:v>0.28611853088480799</c:v>
                </c:pt>
                <c:pt idx="43">
                  <c:v>0.30265442404006682</c:v>
                </c:pt>
                <c:pt idx="44">
                  <c:v>0.31662771285475799</c:v>
                </c:pt>
                <c:pt idx="45">
                  <c:v>0.33494156928213692</c:v>
                </c:pt>
                <c:pt idx="46">
                  <c:v>0.33594156928213698</c:v>
                </c:pt>
                <c:pt idx="47">
                  <c:v>0.3486727879799667</c:v>
                </c:pt>
                <c:pt idx="48">
                  <c:v>0.37162771285475799</c:v>
                </c:pt>
                <c:pt idx="49">
                  <c:v>0.38</c:v>
                </c:pt>
                <c:pt idx="50">
                  <c:v>0.39</c:v>
                </c:pt>
                <c:pt idx="51">
                  <c:v>0.4</c:v>
                </c:pt>
                <c:pt idx="52">
                  <c:v>0.40598689598689602</c:v>
                </c:pt>
                <c:pt idx="53">
                  <c:v>0.44591819699499158</c:v>
                </c:pt>
                <c:pt idx="54">
                  <c:v>0.48829716193656098</c:v>
                </c:pt>
                <c:pt idx="55">
                  <c:v>0.52092654424040064</c:v>
                </c:pt>
                <c:pt idx="56">
                  <c:v>0.52880634400000004</c:v>
                </c:pt>
                <c:pt idx="57">
                  <c:v>0.54252921535893162</c:v>
                </c:pt>
                <c:pt idx="58">
                  <c:v>0.55257095158597669</c:v>
                </c:pt>
                <c:pt idx="59">
                  <c:v>0.56423205342237071</c:v>
                </c:pt>
                <c:pt idx="60">
                  <c:v>0.57153589299999996</c:v>
                </c:pt>
                <c:pt idx="61">
                  <c:v>0.57938230383973277</c:v>
                </c:pt>
                <c:pt idx="62">
                  <c:v>0.59</c:v>
                </c:pt>
                <c:pt idx="63" formatCode="0.00%">
                  <c:v>0.59520033400000005</c:v>
                </c:pt>
                <c:pt idx="64" formatCode="0.00%">
                  <c:v>0.59820534199999997</c:v>
                </c:pt>
                <c:pt idx="65" formatCode="0.00%">
                  <c:v>0.6096327212020034</c:v>
                </c:pt>
                <c:pt idx="66" formatCode="0.00%">
                  <c:v>0.61272120200333902</c:v>
                </c:pt>
                <c:pt idx="67" formatCode="0.00%">
                  <c:v>0.61772954924874801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AD-4645-BA6C-C744FA2127C6}"/>
            </c:ext>
          </c:extLst>
        </c:ser>
        <c:ser>
          <c:idx val="4"/>
          <c:order val="4"/>
          <c:tx>
            <c:strRef>
              <c:f>'S-Curve (2)'!$A$9</c:f>
              <c:strCache>
                <c:ptCount val="1"/>
                <c:pt idx="0">
                  <c:v>Variance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cat>
            <c:multiLvlStrRef>
              <c:f>'S-Curve (2)'!$B$3:$BQ$4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(2)'!$B$9:$BQ$9</c:f>
              <c:numCache>
                <c:formatCode>0%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-1.3042570951585924E-3</c:v>
                </c:pt>
                <c:pt idx="18">
                  <c:v>3.432804674457432E-3</c:v>
                </c:pt>
                <c:pt idx="19">
                  <c:v>2.4780884808013354E-2</c:v>
                </c:pt>
                <c:pt idx="20">
                  <c:v>4.0379799666110189E-2</c:v>
                </c:pt>
                <c:pt idx="21">
                  <c:v>5.4424040066777965E-2</c:v>
                </c:pt>
                <c:pt idx="22">
                  <c:v>7.2986227045075125E-2</c:v>
                </c:pt>
                <c:pt idx="23">
                  <c:v>9.0306761268781302E-2</c:v>
                </c:pt>
                <c:pt idx="24">
                  <c:v>0.10733514190317196</c:v>
                </c:pt>
                <c:pt idx="25">
                  <c:v>0.12557387312186979</c:v>
                </c:pt>
                <c:pt idx="26">
                  <c:v>0.14320742904841399</c:v>
                </c:pt>
                <c:pt idx="27">
                  <c:v>0.16016277128547579</c:v>
                </c:pt>
                <c:pt idx="28">
                  <c:v>0.17696160267111852</c:v>
                </c:pt>
                <c:pt idx="29">
                  <c:v>0.19542988313856427</c:v>
                </c:pt>
                <c:pt idx="30">
                  <c:v>0.21431552587646074</c:v>
                </c:pt>
                <c:pt idx="31">
                  <c:v>0.22934056761268781</c:v>
                </c:pt>
                <c:pt idx="32">
                  <c:v>0.22934056761268781</c:v>
                </c:pt>
                <c:pt idx="33">
                  <c:v>0.23971202003338901</c:v>
                </c:pt>
                <c:pt idx="34">
                  <c:v>0.24749582674624376</c:v>
                </c:pt>
                <c:pt idx="35">
                  <c:v>0.25273372287145246</c:v>
                </c:pt>
                <c:pt idx="36">
                  <c:v>0.30680300500834723</c:v>
                </c:pt>
                <c:pt idx="37">
                  <c:v>0.37004382303839733</c:v>
                </c:pt>
                <c:pt idx="38">
                  <c:v>0.41090358931552584</c:v>
                </c:pt>
                <c:pt idx="39">
                  <c:v>0.43784432387312189</c:v>
                </c:pt>
                <c:pt idx="40">
                  <c:v>0.47445742904841404</c:v>
                </c:pt>
                <c:pt idx="41">
                  <c:v>0.5307909015025043</c:v>
                </c:pt>
                <c:pt idx="42">
                  <c:v>0.55168405676126886</c:v>
                </c:pt>
                <c:pt idx="43">
                  <c:v>0.58726627712854751</c:v>
                </c:pt>
                <c:pt idx="44">
                  <c:v>0.61247287145242069</c:v>
                </c:pt>
                <c:pt idx="45">
                  <c:v>0.62253964941569284</c:v>
                </c:pt>
                <c:pt idx="46">
                  <c:v>0.64360767946577613</c:v>
                </c:pt>
                <c:pt idx="47">
                  <c:v>0.64840567612687805</c:v>
                </c:pt>
                <c:pt idx="48">
                  <c:v>0.62837228714524196</c:v>
                </c:pt>
                <c:pt idx="49">
                  <c:v>0.62</c:v>
                </c:pt>
                <c:pt idx="50">
                  <c:v>0.61</c:v>
                </c:pt>
                <c:pt idx="51">
                  <c:v>0.6</c:v>
                </c:pt>
                <c:pt idx="52">
                  <c:v>0.59401310401310403</c:v>
                </c:pt>
                <c:pt idx="53">
                  <c:v>0.55408180300500842</c:v>
                </c:pt>
                <c:pt idx="54">
                  <c:v>0.51170283806343897</c:v>
                </c:pt>
                <c:pt idx="55">
                  <c:v>0.47907345575959936</c:v>
                </c:pt>
                <c:pt idx="56">
                  <c:v>0.47119365599999996</c:v>
                </c:pt>
                <c:pt idx="57">
                  <c:v>0.45747078464106838</c:v>
                </c:pt>
                <c:pt idx="59">
                  <c:v>0.43576794657762929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AD-4645-BA6C-C744FA2127C6}"/>
            </c:ext>
          </c:extLst>
        </c:ser>
        <c:ser>
          <c:idx val="5"/>
          <c:order val="5"/>
          <c:tx>
            <c:strRef>
              <c:f>'S-Curve (2)'!$A$10</c:f>
              <c:strCache>
                <c:ptCount val="1"/>
                <c:pt idx="0">
                  <c:v>Catch up Plan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'S-Curve (2)'!$B$3:$BQ$4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(2)'!$B$10:$BQ$10</c:f>
              <c:numCache>
                <c:formatCode>General</c:formatCode>
                <c:ptCount val="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AD-4645-BA6C-C744FA212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996208"/>
        <c:axId val="395995792"/>
      </c:lineChart>
      <c:catAx>
        <c:axId val="589151599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49519"/>
        <c:crosses val="autoZero"/>
        <c:auto val="1"/>
        <c:lblAlgn val="ctr"/>
        <c:lblOffset val="100"/>
        <c:noMultiLvlLbl val="0"/>
      </c:catAx>
      <c:valAx>
        <c:axId val="589149519"/>
        <c:scaling>
          <c:orientation val="minMax"/>
          <c:max val="0.2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51599"/>
        <c:crosses val="autoZero"/>
        <c:crossBetween val="between"/>
      </c:valAx>
      <c:valAx>
        <c:axId val="395995792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96208"/>
        <c:crosses val="max"/>
        <c:crossBetween val="between"/>
      </c:valAx>
      <c:catAx>
        <c:axId val="39599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59957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pattFill prst="dkDnDiag">
          <a:fgClr>
            <a:schemeClr val="bg1">
              <a:lumMod val="95000"/>
            </a:schemeClr>
          </a:fgClr>
          <a:bgClr>
            <a:schemeClr val="bg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ELECTRICAL INSTALLATION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Baseline 1'!$A$5</c:f>
              <c:strCache>
                <c:ptCount val="1"/>
                <c:pt idx="0">
                  <c:v>Plan Weekly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'S-Curve Baseline 1'!$B$3:$BQ$4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Baseline 1'!$B$5:$BQ$5</c:f>
              <c:numCache>
                <c:formatCode>0%</c:formatCode>
                <c:ptCount val="68"/>
                <c:pt idx="0">
                  <c:v>2.9215358931552588E-3</c:v>
                </c:pt>
                <c:pt idx="1">
                  <c:v>4.1736227045075132E-3</c:v>
                </c:pt>
                <c:pt idx="2">
                  <c:v>4.1736227045075123E-3</c:v>
                </c:pt>
                <c:pt idx="3">
                  <c:v>4.1736227045075132E-3</c:v>
                </c:pt>
                <c:pt idx="4">
                  <c:v>4.1736227045075132E-3</c:v>
                </c:pt>
                <c:pt idx="5">
                  <c:v>4.1736227045075097E-3</c:v>
                </c:pt>
                <c:pt idx="6">
                  <c:v>4.1736227045075132E-3</c:v>
                </c:pt>
                <c:pt idx="7">
                  <c:v>4.1736227045075167E-3</c:v>
                </c:pt>
                <c:pt idx="8">
                  <c:v>4.1736227045075097E-3</c:v>
                </c:pt>
                <c:pt idx="9">
                  <c:v>4.1736227045075097E-3</c:v>
                </c:pt>
                <c:pt idx="10">
                  <c:v>4.1736227045075167E-3</c:v>
                </c:pt>
                <c:pt idx="11">
                  <c:v>4.1736227045075097E-3</c:v>
                </c:pt>
                <c:pt idx="12">
                  <c:v>6.3126043405676152E-3</c:v>
                </c:pt>
                <c:pt idx="13">
                  <c:v>6.5734557595993337E-3</c:v>
                </c:pt>
                <c:pt idx="14">
                  <c:v>4.9040066777963215E-3</c:v>
                </c:pt>
                <c:pt idx="15">
                  <c:v>6.5734557595993337E-3</c:v>
                </c:pt>
                <c:pt idx="16">
                  <c:v>6.5734557595993337E-3</c:v>
                </c:pt>
                <c:pt idx="17">
                  <c:v>6.5734557595993337E-3</c:v>
                </c:pt>
                <c:pt idx="18">
                  <c:v>6.3647746243739589E-3</c:v>
                </c:pt>
                <c:pt idx="19">
                  <c:v>2.5980801335559259E-2</c:v>
                </c:pt>
                <c:pt idx="20">
                  <c:v>2.0607262103505844E-2</c:v>
                </c:pt>
                <c:pt idx="21">
                  <c:v>1.9720367278798001E-2</c:v>
                </c:pt>
                <c:pt idx="22">
                  <c:v>1.9563856427378956E-2</c:v>
                </c:pt>
                <c:pt idx="23">
                  <c:v>1.9720367278798001E-2</c:v>
                </c:pt>
                <c:pt idx="24">
                  <c:v>1.9720367278798001E-2</c:v>
                </c:pt>
                <c:pt idx="25">
                  <c:v>1.9720367278798001E-2</c:v>
                </c:pt>
                <c:pt idx="26">
                  <c:v>1.9720367278797973E-2</c:v>
                </c:pt>
                <c:pt idx="27">
                  <c:v>1.7998747913188673E-2</c:v>
                </c:pt>
                <c:pt idx="28">
                  <c:v>1.9407345575959911E-2</c:v>
                </c:pt>
                <c:pt idx="29">
                  <c:v>1.9720367278798001E-2</c:v>
                </c:pt>
                <c:pt idx="30">
                  <c:v>1.9720367278798001E-2</c:v>
                </c:pt>
                <c:pt idx="31">
                  <c:v>1.9720367278798001E-2</c:v>
                </c:pt>
                <c:pt idx="32">
                  <c:v>1.9720367278798001E-2</c:v>
                </c:pt>
                <c:pt idx="33">
                  <c:v>1.9720367278798001E-2</c:v>
                </c:pt>
                <c:pt idx="34">
                  <c:v>1.9720367278798001E-2</c:v>
                </c:pt>
                <c:pt idx="35">
                  <c:v>1.9720367278798001E-2</c:v>
                </c:pt>
                <c:pt idx="36">
                  <c:v>6.3752086811352249E-2</c:v>
                </c:pt>
                <c:pt idx="37">
                  <c:v>6.6204090150250416E-2</c:v>
                </c:pt>
                <c:pt idx="38">
                  <c:v>4.3823038397328817E-2</c:v>
                </c:pt>
                <c:pt idx="39">
                  <c:v>3.8710350584307274E-2</c:v>
                </c:pt>
                <c:pt idx="40">
                  <c:v>6.5786727879799667E-2</c:v>
                </c:pt>
                <c:pt idx="41">
                  <c:v>6.5056343906510827E-2</c:v>
                </c:pt>
                <c:pt idx="42">
                  <c:v>6.1560934891485841E-2</c:v>
                </c:pt>
                <c:pt idx="43">
                  <c:v>5.2118113522537479E-2</c:v>
                </c:pt>
                <c:pt idx="44">
                  <c:v>3.9179883138564353E-2</c:v>
                </c:pt>
                <c:pt idx="45">
                  <c:v>2.8380634390651083E-2</c:v>
                </c:pt>
                <c:pt idx="46">
                  <c:v>2.2068030050083398E-2</c:v>
                </c:pt>
                <c:pt idx="47">
                  <c:v>1.7529215358931594E-2</c:v>
                </c:pt>
                <c:pt idx="48">
                  <c:v>2.9215358931552471E-3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E-437C-A8C9-78ED74AD4677}"/>
            </c:ext>
          </c:extLst>
        </c:ser>
        <c:ser>
          <c:idx val="1"/>
          <c:order val="1"/>
          <c:tx>
            <c:strRef>
              <c:f>'S-Curve Baseline 1'!$A$6</c:f>
              <c:strCache>
                <c:ptCount val="1"/>
                <c:pt idx="0">
                  <c:v>Actual Weekly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'S-Curve Baseline 1'!$B$3:$BQ$4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Baseline 1'!$B$6:$BQ$6</c:f>
              <c:numCache>
                <c:formatCode>0%</c:formatCode>
                <c:ptCount val="68"/>
                <c:pt idx="0">
                  <c:v>2.9215358931552588E-3</c:v>
                </c:pt>
                <c:pt idx="1">
                  <c:v>4.1736227045075132E-3</c:v>
                </c:pt>
                <c:pt idx="2">
                  <c:v>4.1736227045075123E-3</c:v>
                </c:pt>
                <c:pt idx="3">
                  <c:v>4.1736227045075132E-3</c:v>
                </c:pt>
                <c:pt idx="4">
                  <c:v>4.1736227045075132E-3</c:v>
                </c:pt>
                <c:pt idx="5">
                  <c:v>4.1736227045075097E-3</c:v>
                </c:pt>
                <c:pt idx="6">
                  <c:v>4.1736227045075132E-3</c:v>
                </c:pt>
                <c:pt idx="7">
                  <c:v>4.1736227045075167E-3</c:v>
                </c:pt>
                <c:pt idx="8">
                  <c:v>4.1736227045075097E-3</c:v>
                </c:pt>
                <c:pt idx="9">
                  <c:v>4.1736227045075097E-3</c:v>
                </c:pt>
                <c:pt idx="10">
                  <c:v>4.1736227045075167E-3</c:v>
                </c:pt>
                <c:pt idx="11">
                  <c:v>4.1736227045075097E-3</c:v>
                </c:pt>
                <c:pt idx="12">
                  <c:v>6.3126043405676152E-3</c:v>
                </c:pt>
                <c:pt idx="13">
                  <c:v>6.5734557595993337E-3</c:v>
                </c:pt>
                <c:pt idx="14">
                  <c:v>4.9040066777963215E-3</c:v>
                </c:pt>
                <c:pt idx="15">
                  <c:v>6.5734557595993337E-3</c:v>
                </c:pt>
                <c:pt idx="16">
                  <c:v>6.5734557595993337E-3</c:v>
                </c:pt>
                <c:pt idx="17" formatCode="0.00%">
                  <c:v>7.8777128547579262E-3</c:v>
                </c:pt>
                <c:pt idx="18" formatCode="0.00%">
                  <c:v>1.6277128547579345E-3</c:v>
                </c:pt>
                <c:pt idx="19" formatCode="0.00%">
                  <c:v>4.632721202003337E-3</c:v>
                </c:pt>
                <c:pt idx="20" formatCode="0.00%">
                  <c:v>5.0083472454090089E-3</c:v>
                </c:pt>
                <c:pt idx="21" formatCode="0.00%">
                  <c:v>5.6761268781302249E-3</c:v>
                </c:pt>
                <c:pt idx="22" formatCode="0.00%">
                  <c:v>1.0016694490817962E-3</c:v>
                </c:pt>
                <c:pt idx="23" formatCode="0.00%">
                  <c:v>2.399833055091824E-3</c:v>
                </c:pt>
                <c:pt idx="24" formatCode="0.00%">
                  <c:v>2.6919866444073404E-3</c:v>
                </c:pt>
                <c:pt idx="25" formatCode="0.00%">
                  <c:v>1.4816360601001693E-3</c:v>
                </c:pt>
                <c:pt idx="26" formatCode="0.00%">
                  <c:v>2.0868113522537618E-3</c:v>
                </c:pt>
                <c:pt idx="27" formatCode="0.00%">
                  <c:v>1.043405676126874E-3</c:v>
                </c:pt>
                <c:pt idx="28" formatCode="0.00%">
                  <c:v>2.6085141903171988E-3</c:v>
                </c:pt>
                <c:pt idx="29" formatCode="0.00%">
                  <c:v>1.2520868113522488E-3</c:v>
                </c:pt>
                <c:pt idx="30" formatCode="0.00%">
                  <c:v>8.3472454090151305E-4</c:v>
                </c:pt>
                <c:pt idx="31" formatCode="0.00%">
                  <c:v>4.6953255425709467E-3</c:v>
                </c:pt>
                <c:pt idx="32" formatCode="0.00%">
                  <c:v>1.9720367278798001E-2</c:v>
                </c:pt>
                <c:pt idx="33" formatCode="0.00%">
                  <c:v>9.3489148580968018E-3</c:v>
                </c:pt>
                <c:pt idx="34" formatCode="0.00%">
                  <c:v>1.1936560565943249E-2</c:v>
                </c:pt>
                <c:pt idx="35" formatCode="0.00%">
                  <c:v>1.4482471153589305E-2</c:v>
                </c:pt>
                <c:pt idx="36" formatCode="0.00%">
                  <c:v>9.6828046744574514E-3</c:v>
                </c:pt>
                <c:pt idx="37" formatCode="0.00%">
                  <c:v>2.9632721202003387E-3</c:v>
                </c:pt>
                <c:pt idx="38" formatCode="0.00%">
                  <c:v>2.9632721202003109E-3</c:v>
                </c:pt>
                <c:pt idx="39" formatCode="0.00%">
                  <c:v>1.1769616026711227E-2</c:v>
                </c:pt>
                <c:pt idx="40" formatCode="0.00%">
                  <c:v>2.9173622704507518E-2</c:v>
                </c:pt>
                <c:pt idx="41" formatCode="0.00%">
                  <c:v>8.7228714524206219E-3</c:v>
                </c:pt>
                <c:pt idx="42" formatCode="0.00%">
                  <c:v>4.0667779632721224E-2</c:v>
                </c:pt>
                <c:pt idx="43" formatCode="0.00%">
                  <c:v>1.653589315525883E-2</c:v>
                </c:pt>
                <c:pt idx="44" formatCode="0.00%">
                  <c:v>1.3973288814691176E-2</c:v>
                </c:pt>
                <c:pt idx="45" formatCode="0.00%">
                  <c:v>1.8313856427378927E-2</c:v>
                </c:pt>
                <c:pt idx="46" formatCode="0.00%">
                  <c:v>1.0000000000000564E-3</c:v>
                </c:pt>
                <c:pt idx="47" formatCode="0.00%">
                  <c:v>1.2731218697829727E-2</c:v>
                </c:pt>
                <c:pt idx="48" formatCode="0.00%">
                  <c:v>2.2954924874791283E-2</c:v>
                </c:pt>
                <c:pt idx="49" formatCode="0.00%">
                  <c:v>8.3722871452420189E-3</c:v>
                </c:pt>
                <c:pt idx="50" formatCode="0.00%">
                  <c:v>1.0000000000000009E-2</c:v>
                </c:pt>
                <c:pt idx="51" formatCode="0.00%">
                  <c:v>1.0000000000000009E-2</c:v>
                </c:pt>
                <c:pt idx="52" formatCode="0.00%">
                  <c:v>5.9868959868960014E-3</c:v>
                </c:pt>
                <c:pt idx="53" formatCode="0.00%">
                  <c:v>3.9931301008095554E-2</c:v>
                </c:pt>
                <c:pt idx="54" formatCode="0.00%">
                  <c:v>4.2378964941569397E-2</c:v>
                </c:pt>
                <c:pt idx="55" formatCode="0.00%">
                  <c:v>3.262938230383966E-2</c:v>
                </c:pt>
                <c:pt idx="56" formatCode="0.00%">
                  <c:v>7.879799759599404E-3</c:v>
                </c:pt>
                <c:pt idx="57" formatCode="0.00%">
                  <c:v>1.3722871358931577E-2</c:v>
                </c:pt>
                <c:pt idx="58" formatCode="0.00%">
                  <c:v>1.0041736227045073E-2</c:v>
                </c:pt>
                <c:pt idx="59" formatCode="0.00%">
                  <c:v>1.1661101836394017E-2</c:v>
                </c:pt>
                <c:pt idx="60" formatCode="0.00%">
                  <c:v>7.3038395776292564E-3</c:v>
                </c:pt>
                <c:pt idx="61" formatCode="0.00%">
                  <c:v>7.8464108397328092E-3</c:v>
                </c:pt>
                <c:pt idx="62" formatCode="0.00%">
                  <c:v>1.0617696160267198E-2</c:v>
                </c:pt>
                <c:pt idx="63" formatCode="0.00%">
                  <c:v>5.2003340000000842E-3</c:v>
                </c:pt>
                <c:pt idx="64" formatCode="0.00%">
                  <c:v>3.0050079999999202E-3</c:v>
                </c:pt>
                <c:pt idx="65" formatCode="0.00%">
                  <c:v>1.1427379202003429E-2</c:v>
                </c:pt>
                <c:pt idx="66" formatCode="0.00%">
                  <c:v>3.0884808013356135E-3</c:v>
                </c:pt>
                <c:pt idx="67" formatCode="0.00%">
                  <c:v>5.008347245408995E-3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E-437C-A8C9-78ED74AD4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9"/>
        <c:axId val="589151599"/>
        <c:axId val="589149519"/>
      </c:barChart>
      <c:lineChart>
        <c:grouping val="standard"/>
        <c:varyColors val="0"/>
        <c:ser>
          <c:idx val="2"/>
          <c:order val="2"/>
          <c:tx>
            <c:strRef>
              <c:f>'S-Curve Baseline 1'!$A$7</c:f>
              <c:strCache>
                <c:ptCount val="1"/>
                <c:pt idx="0">
                  <c:v>Plan Accum 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'S-Curve Baseline 1'!$B$3:$BQ$4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Baseline 1'!$B$7:$BQ$7</c:f>
              <c:numCache>
                <c:formatCode>0%</c:formatCode>
                <c:ptCount val="68"/>
                <c:pt idx="0">
                  <c:v>2.9215358931552588E-3</c:v>
                </c:pt>
                <c:pt idx="1">
                  <c:v>7.0951585976627716E-3</c:v>
                </c:pt>
                <c:pt idx="2">
                  <c:v>1.1268781302170284E-2</c:v>
                </c:pt>
                <c:pt idx="3">
                  <c:v>1.5442404006677797E-2</c:v>
                </c:pt>
                <c:pt idx="4">
                  <c:v>1.961602671118531E-2</c:v>
                </c:pt>
                <c:pt idx="5">
                  <c:v>2.378964941569282E-2</c:v>
                </c:pt>
                <c:pt idx="6">
                  <c:v>2.7963272120200333E-2</c:v>
                </c:pt>
                <c:pt idx="7">
                  <c:v>3.213689482470785E-2</c:v>
                </c:pt>
                <c:pt idx="8">
                  <c:v>3.631051752921536E-2</c:v>
                </c:pt>
                <c:pt idx="9">
                  <c:v>4.0484140233722869E-2</c:v>
                </c:pt>
                <c:pt idx="10">
                  <c:v>4.4657762938230386E-2</c:v>
                </c:pt>
                <c:pt idx="11">
                  <c:v>4.8831385642737896E-2</c:v>
                </c:pt>
                <c:pt idx="12">
                  <c:v>5.5143989983305511E-2</c:v>
                </c:pt>
                <c:pt idx="13">
                  <c:v>6.1717445742904845E-2</c:v>
                </c:pt>
                <c:pt idx="14">
                  <c:v>6.6621452420701166E-2</c:v>
                </c:pt>
                <c:pt idx="15">
                  <c:v>7.31949081803005E-2</c:v>
                </c:pt>
                <c:pt idx="16">
                  <c:v>7.9768363939899833E-2</c:v>
                </c:pt>
                <c:pt idx="17">
                  <c:v>8.6341819699499167E-2</c:v>
                </c:pt>
                <c:pt idx="18">
                  <c:v>9.2706594323873126E-2</c:v>
                </c:pt>
                <c:pt idx="19">
                  <c:v>0.11868739565943238</c:v>
                </c:pt>
                <c:pt idx="20">
                  <c:v>0.13929465776293823</c:v>
                </c:pt>
                <c:pt idx="21">
                  <c:v>0.15901502504173623</c:v>
                </c:pt>
                <c:pt idx="22">
                  <c:v>0.17857888146911519</c:v>
                </c:pt>
                <c:pt idx="23">
                  <c:v>0.19829924874791319</c:v>
                </c:pt>
                <c:pt idx="24">
                  <c:v>0.21801961602671119</c:v>
                </c:pt>
                <c:pt idx="25">
                  <c:v>0.23773998330550919</c:v>
                </c:pt>
                <c:pt idx="26">
                  <c:v>0.25746035058430716</c:v>
                </c:pt>
                <c:pt idx="27">
                  <c:v>0.27545909849749584</c:v>
                </c:pt>
                <c:pt idx="28">
                  <c:v>0.29486644407345575</c:v>
                </c:pt>
                <c:pt idx="29">
                  <c:v>0.31458681135225375</c:v>
                </c:pt>
                <c:pt idx="30">
                  <c:v>0.33430717863105175</c:v>
                </c:pt>
                <c:pt idx="31">
                  <c:v>0.35402754590984975</c:v>
                </c:pt>
                <c:pt idx="32">
                  <c:v>0.37374791318864775</c:v>
                </c:pt>
                <c:pt idx="33">
                  <c:v>0.39346828046744575</c:v>
                </c:pt>
                <c:pt idx="34">
                  <c:v>0.41318864774624375</c:v>
                </c:pt>
                <c:pt idx="35">
                  <c:v>0.43290901502504175</c:v>
                </c:pt>
                <c:pt idx="36">
                  <c:v>0.496661101836394</c:v>
                </c:pt>
                <c:pt idx="37">
                  <c:v>0.56286519198664442</c:v>
                </c:pt>
                <c:pt idx="38">
                  <c:v>0.60668823038397324</c:v>
                </c:pt>
                <c:pt idx="39">
                  <c:v>0.64539858096828051</c:v>
                </c:pt>
                <c:pt idx="40">
                  <c:v>0.71118530884808018</c:v>
                </c:pt>
                <c:pt idx="41">
                  <c:v>0.776241652754591</c:v>
                </c:pt>
                <c:pt idx="42">
                  <c:v>0.83780258764607685</c:v>
                </c:pt>
                <c:pt idx="43">
                  <c:v>0.88992070116861433</c:v>
                </c:pt>
                <c:pt idx="44">
                  <c:v>0.92910058430717868</c:v>
                </c:pt>
                <c:pt idx="45">
                  <c:v>0.95748121869782976</c:v>
                </c:pt>
                <c:pt idx="46">
                  <c:v>0.97954924874791316</c:v>
                </c:pt>
                <c:pt idx="47">
                  <c:v>0.99707846410684475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1E-437C-A8C9-78ED74AD4677}"/>
            </c:ext>
          </c:extLst>
        </c:ser>
        <c:ser>
          <c:idx val="3"/>
          <c:order val="3"/>
          <c:tx>
            <c:strRef>
              <c:f>'S-Curve Baseline 1'!$A$8</c:f>
              <c:strCache>
                <c:ptCount val="1"/>
                <c:pt idx="0">
                  <c:v>Actual  Accum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'S-Curve Baseline 1'!$B$3:$BQ$4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Baseline 1'!$B$8:$BQ$8</c:f>
              <c:numCache>
                <c:formatCode>0%</c:formatCode>
                <c:ptCount val="68"/>
                <c:pt idx="0">
                  <c:v>2.9215358931552588E-3</c:v>
                </c:pt>
                <c:pt idx="1">
                  <c:v>7.0951585976627716E-3</c:v>
                </c:pt>
                <c:pt idx="2">
                  <c:v>1.1268781302170284E-2</c:v>
                </c:pt>
                <c:pt idx="3">
                  <c:v>1.5442404006677797E-2</c:v>
                </c:pt>
                <c:pt idx="4">
                  <c:v>1.961602671118531E-2</c:v>
                </c:pt>
                <c:pt idx="5">
                  <c:v>2.378964941569282E-2</c:v>
                </c:pt>
                <c:pt idx="6">
                  <c:v>2.7963272120200333E-2</c:v>
                </c:pt>
                <c:pt idx="7">
                  <c:v>3.213689482470785E-2</c:v>
                </c:pt>
                <c:pt idx="8">
                  <c:v>3.631051752921536E-2</c:v>
                </c:pt>
                <c:pt idx="9">
                  <c:v>4.0484140233722869E-2</c:v>
                </c:pt>
                <c:pt idx="10">
                  <c:v>4.4657762938230386E-2</c:v>
                </c:pt>
                <c:pt idx="11">
                  <c:v>4.8831385642737896E-2</c:v>
                </c:pt>
                <c:pt idx="12">
                  <c:v>5.5143989983305511E-2</c:v>
                </c:pt>
                <c:pt idx="13">
                  <c:v>6.1717445742904845E-2</c:v>
                </c:pt>
                <c:pt idx="14">
                  <c:v>6.6621452420701166E-2</c:v>
                </c:pt>
                <c:pt idx="15">
                  <c:v>7.31949081803005E-2</c:v>
                </c:pt>
                <c:pt idx="16">
                  <c:v>7.9768363939899833E-2</c:v>
                </c:pt>
                <c:pt idx="17">
                  <c:v>8.764607679465776E-2</c:v>
                </c:pt>
                <c:pt idx="18">
                  <c:v>8.9273789649415694E-2</c:v>
                </c:pt>
                <c:pt idx="19">
                  <c:v>9.3906510851419031E-2</c:v>
                </c:pt>
                <c:pt idx="20">
                  <c:v>9.891485809682804E-2</c:v>
                </c:pt>
                <c:pt idx="21">
                  <c:v>0.10459098497495826</c:v>
                </c:pt>
                <c:pt idx="22">
                  <c:v>0.10559265442404006</c:v>
                </c:pt>
                <c:pt idx="23">
                  <c:v>0.10799248747913189</c:v>
                </c:pt>
                <c:pt idx="24">
                  <c:v>0.11068447412353923</c:v>
                </c:pt>
                <c:pt idx="25">
                  <c:v>0.11216611018363939</c:v>
                </c:pt>
                <c:pt idx="26">
                  <c:v>0.11425292153589316</c:v>
                </c:pt>
                <c:pt idx="27">
                  <c:v>0.11529632721202003</c:v>
                </c:pt>
                <c:pt idx="28">
                  <c:v>0.11790484140233723</c:v>
                </c:pt>
                <c:pt idx="29">
                  <c:v>0.11915692821368948</c:v>
                </c:pt>
                <c:pt idx="30">
                  <c:v>0.11999165275459099</c:v>
                </c:pt>
                <c:pt idx="31">
                  <c:v>0.12468697829716194</c:v>
                </c:pt>
                <c:pt idx="32">
                  <c:v>0.14440734557595994</c:v>
                </c:pt>
                <c:pt idx="33">
                  <c:v>0.15375626043405674</c:v>
                </c:pt>
                <c:pt idx="34">
                  <c:v>0.16569282099999999</c:v>
                </c:pt>
                <c:pt idx="35">
                  <c:v>0.18017529215358929</c:v>
                </c:pt>
                <c:pt idx="36">
                  <c:v>0.18985809682804675</c:v>
                </c:pt>
                <c:pt idx="37">
                  <c:v>0.19282136894824708</c:v>
                </c:pt>
                <c:pt idx="38">
                  <c:v>0.1957846410684474</c:v>
                </c:pt>
                <c:pt idx="39">
                  <c:v>0.20755425709515862</c:v>
                </c:pt>
                <c:pt idx="40">
                  <c:v>0.23672787979966614</c:v>
                </c:pt>
                <c:pt idx="41">
                  <c:v>0.24545075125208676</c:v>
                </c:pt>
                <c:pt idx="42">
                  <c:v>0.28611853088480799</c:v>
                </c:pt>
                <c:pt idx="43">
                  <c:v>0.30265442404006682</c:v>
                </c:pt>
                <c:pt idx="44">
                  <c:v>0.31662771285475799</c:v>
                </c:pt>
                <c:pt idx="45">
                  <c:v>0.33494156928213692</c:v>
                </c:pt>
                <c:pt idx="46">
                  <c:v>0.33594156928213698</c:v>
                </c:pt>
                <c:pt idx="47">
                  <c:v>0.3486727879799667</c:v>
                </c:pt>
                <c:pt idx="48">
                  <c:v>0.37162771285475799</c:v>
                </c:pt>
                <c:pt idx="49">
                  <c:v>0.38</c:v>
                </c:pt>
                <c:pt idx="50">
                  <c:v>0.39</c:v>
                </c:pt>
                <c:pt idx="51">
                  <c:v>0.4</c:v>
                </c:pt>
                <c:pt idx="52">
                  <c:v>0.40598689598689602</c:v>
                </c:pt>
                <c:pt idx="53">
                  <c:v>0.44591819699499158</c:v>
                </c:pt>
                <c:pt idx="54">
                  <c:v>0.48829716193656098</c:v>
                </c:pt>
                <c:pt idx="55">
                  <c:v>0.52092654424040064</c:v>
                </c:pt>
                <c:pt idx="56">
                  <c:v>0.52880634400000004</c:v>
                </c:pt>
                <c:pt idx="57">
                  <c:v>0.54252921535893162</c:v>
                </c:pt>
                <c:pt idx="58">
                  <c:v>0.55257095158597669</c:v>
                </c:pt>
                <c:pt idx="59">
                  <c:v>0.56423205342237071</c:v>
                </c:pt>
                <c:pt idx="60">
                  <c:v>0.57153589299999996</c:v>
                </c:pt>
                <c:pt idx="61">
                  <c:v>0.57938230383973277</c:v>
                </c:pt>
                <c:pt idx="62">
                  <c:v>0.59</c:v>
                </c:pt>
                <c:pt idx="63" formatCode="0.00%">
                  <c:v>0.59520033400000005</c:v>
                </c:pt>
                <c:pt idx="64" formatCode="0.00%">
                  <c:v>0.59820534199999997</c:v>
                </c:pt>
                <c:pt idx="65" formatCode="0.00%">
                  <c:v>0.6096327212020034</c:v>
                </c:pt>
                <c:pt idx="66" formatCode="0.00%">
                  <c:v>0.61272120200333902</c:v>
                </c:pt>
                <c:pt idx="67" formatCode="0.00%">
                  <c:v>0.61772954924874801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1E-437C-A8C9-78ED74AD4677}"/>
            </c:ext>
          </c:extLst>
        </c:ser>
        <c:ser>
          <c:idx val="4"/>
          <c:order val="4"/>
          <c:tx>
            <c:strRef>
              <c:f>'S-Curve Baseline 1'!$A$9</c:f>
              <c:strCache>
                <c:ptCount val="1"/>
                <c:pt idx="0">
                  <c:v>Variance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cat>
            <c:multiLvlStrRef>
              <c:f>'S-Curve Baseline 1'!$B$3:$BQ$4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Baseline 1'!$B$9:$BQ$9</c:f>
              <c:numCache>
                <c:formatCode>0%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-1.3042570951585924E-3</c:v>
                </c:pt>
                <c:pt idx="18">
                  <c:v>3.432804674457432E-3</c:v>
                </c:pt>
                <c:pt idx="19">
                  <c:v>2.4780884808013354E-2</c:v>
                </c:pt>
                <c:pt idx="20">
                  <c:v>4.0379799666110189E-2</c:v>
                </c:pt>
                <c:pt idx="21">
                  <c:v>5.4424040066777965E-2</c:v>
                </c:pt>
                <c:pt idx="22">
                  <c:v>7.2986227045075125E-2</c:v>
                </c:pt>
                <c:pt idx="23">
                  <c:v>9.0306761268781302E-2</c:v>
                </c:pt>
                <c:pt idx="24">
                  <c:v>0.10733514190317196</c:v>
                </c:pt>
                <c:pt idx="25">
                  <c:v>0.12557387312186979</c:v>
                </c:pt>
                <c:pt idx="26">
                  <c:v>0.14320742904841399</c:v>
                </c:pt>
                <c:pt idx="27">
                  <c:v>0.16016277128547579</c:v>
                </c:pt>
                <c:pt idx="28">
                  <c:v>0.17696160267111852</c:v>
                </c:pt>
                <c:pt idx="29">
                  <c:v>0.19542988313856427</c:v>
                </c:pt>
                <c:pt idx="30">
                  <c:v>0.21431552587646074</c:v>
                </c:pt>
                <c:pt idx="31">
                  <c:v>0.22934056761268781</c:v>
                </c:pt>
                <c:pt idx="32">
                  <c:v>0.22934056761268781</c:v>
                </c:pt>
                <c:pt idx="33">
                  <c:v>0.23971202003338901</c:v>
                </c:pt>
                <c:pt idx="34">
                  <c:v>0.24749582674624376</c:v>
                </c:pt>
                <c:pt idx="35">
                  <c:v>0.25273372287145246</c:v>
                </c:pt>
                <c:pt idx="36">
                  <c:v>0.30680300500834723</c:v>
                </c:pt>
                <c:pt idx="37">
                  <c:v>0.37004382303839733</c:v>
                </c:pt>
                <c:pt idx="38">
                  <c:v>0.41090358931552584</c:v>
                </c:pt>
                <c:pt idx="39">
                  <c:v>0.43784432387312189</c:v>
                </c:pt>
                <c:pt idx="40">
                  <c:v>0.47445742904841404</c:v>
                </c:pt>
                <c:pt idx="41">
                  <c:v>0.5307909015025043</c:v>
                </c:pt>
                <c:pt idx="42">
                  <c:v>0.55168405676126886</c:v>
                </c:pt>
                <c:pt idx="43">
                  <c:v>0.58726627712854751</c:v>
                </c:pt>
                <c:pt idx="44">
                  <c:v>0.61247287145242069</c:v>
                </c:pt>
                <c:pt idx="45">
                  <c:v>0.62253964941569284</c:v>
                </c:pt>
                <c:pt idx="46">
                  <c:v>0.64360767946577613</c:v>
                </c:pt>
                <c:pt idx="47">
                  <c:v>0.64840567612687805</c:v>
                </c:pt>
                <c:pt idx="48">
                  <c:v>0.62837228714524196</c:v>
                </c:pt>
                <c:pt idx="49">
                  <c:v>0.62</c:v>
                </c:pt>
                <c:pt idx="50">
                  <c:v>0.61</c:v>
                </c:pt>
                <c:pt idx="51">
                  <c:v>0.6</c:v>
                </c:pt>
                <c:pt idx="52">
                  <c:v>0.59401310401310403</c:v>
                </c:pt>
                <c:pt idx="53">
                  <c:v>0.55408180300500842</c:v>
                </c:pt>
                <c:pt idx="54">
                  <c:v>0.51170283806343897</c:v>
                </c:pt>
                <c:pt idx="55">
                  <c:v>0.47907345575959936</c:v>
                </c:pt>
                <c:pt idx="56">
                  <c:v>0.47119365599999996</c:v>
                </c:pt>
                <c:pt idx="57">
                  <c:v>0.45747078464106838</c:v>
                </c:pt>
                <c:pt idx="59">
                  <c:v>0.43576794657762929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1E-437C-A8C9-78ED74AD4677}"/>
            </c:ext>
          </c:extLst>
        </c:ser>
        <c:ser>
          <c:idx val="5"/>
          <c:order val="5"/>
          <c:tx>
            <c:strRef>
              <c:f>'S-Curve Baseline 1'!$A$10</c:f>
              <c:strCache>
                <c:ptCount val="1"/>
                <c:pt idx="0">
                  <c:v>Catch up Plan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'S-Curve Baseline 1'!$B$3:$BQ$4</c:f>
              <c:multiLvlStrCache>
                <c:ptCount val="68"/>
                <c:lvl>
                  <c:pt idx="0">
                    <c:v>W1</c:v>
                  </c:pt>
                  <c:pt idx="1">
                    <c:v>W2</c:v>
                  </c:pt>
                  <c:pt idx="2">
                    <c:v>W3</c:v>
                  </c:pt>
                  <c:pt idx="3">
                    <c:v>W4</c:v>
                  </c:pt>
                  <c:pt idx="4">
                    <c:v>W5</c:v>
                  </c:pt>
                  <c:pt idx="5">
                    <c:v>W6</c:v>
                  </c:pt>
                  <c:pt idx="6">
                    <c:v>W7</c:v>
                  </c:pt>
                  <c:pt idx="7">
                    <c:v>W8</c:v>
                  </c:pt>
                  <c:pt idx="8">
                    <c:v>W9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W53</c:v>
                  </c:pt>
                  <c:pt idx="53">
                    <c:v>W54</c:v>
                  </c:pt>
                  <c:pt idx="54">
                    <c:v>W55</c:v>
                  </c:pt>
                  <c:pt idx="55">
                    <c:v>W56</c:v>
                  </c:pt>
                  <c:pt idx="56">
                    <c:v>W57</c:v>
                  </c:pt>
                  <c:pt idx="57">
                    <c:v>W58</c:v>
                  </c:pt>
                  <c:pt idx="58">
                    <c:v>W59</c:v>
                  </c:pt>
                  <c:pt idx="59">
                    <c:v>W60</c:v>
                  </c:pt>
                  <c:pt idx="60">
                    <c:v>W61</c:v>
                  </c:pt>
                  <c:pt idx="61">
                    <c:v>W62</c:v>
                  </c:pt>
                  <c:pt idx="62">
                    <c:v>W63</c:v>
                  </c:pt>
                  <c:pt idx="63">
                    <c:v>W64</c:v>
                  </c:pt>
                  <c:pt idx="64">
                    <c:v>W65</c:v>
                  </c:pt>
                  <c:pt idx="65">
                    <c:v>W66</c:v>
                  </c:pt>
                  <c:pt idx="66">
                    <c:v>W67</c:v>
                  </c:pt>
                  <c:pt idx="67">
                    <c:v>W67</c:v>
                  </c:pt>
                </c:lvl>
                <c:lvl>
                  <c:pt idx="0">
                    <c:v>Apr</c:v>
                  </c:pt>
                  <c:pt idx="1">
                    <c:v>Apr</c:v>
                  </c:pt>
                  <c:pt idx="2">
                    <c:v>Apr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Jun</c:v>
                  </c:pt>
                  <c:pt idx="10">
                    <c:v>Jun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Jul</c:v>
                  </c:pt>
                  <c:pt idx="14">
                    <c:v>Jul</c:v>
                  </c:pt>
                  <c:pt idx="15">
                    <c:v>Jul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Aug</c:v>
                  </c:pt>
                  <c:pt idx="19">
                    <c:v>Aug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Sep</c:v>
                  </c:pt>
                  <c:pt idx="23">
                    <c:v>Sep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Oct</c:v>
                  </c:pt>
                  <c:pt idx="27">
                    <c:v>Oct</c:v>
                  </c:pt>
                  <c:pt idx="28">
                    <c:v>Oct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Nov</c:v>
                  </c:pt>
                  <c:pt idx="32">
                    <c:v>Nov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Dec</c:v>
                  </c:pt>
                  <c:pt idx="36">
                    <c:v>Dec</c:v>
                  </c:pt>
                  <c:pt idx="37">
                    <c:v>Dec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Jan</c:v>
                  </c:pt>
                  <c:pt idx="41">
                    <c:v>Jan</c:v>
                  </c:pt>
                  <c:pt idx="42">
                    <c:v>Jan</c:v>
                  </c:pt>
                  <c:pt idx="43">
                    <c:v>Jan</c:v>
                  </c:pt>
                  <c:pt idx="44">
                    <c:v>Feb</c:v>
                  </c:pt>
                  <c:pt idx="45">
                    <c:v>Feb</c:v>
                  </c:pt>
                  <c:pt idx="46">
                    <c:v>Feb</c:v>
                  </c:pt>
                  <c:pt idx="47">
                    <c:v>Feb</c:v>
                  </c:pt>
                  <c:pt idx="48">
                    <c:v>Mar</c:v>
                  </c:pt>
                  <c:pt idx="49">
                    <c:v>Mar</c:v>
                  </c:pt>
                  <c:pt idx="50">
                    <c:v>Mar</c:v>
                  </c:pt>
                  <c:pt idx="51">
                    <c:v>Mar</c:v>
                  </c:pt>
                  <c:pt idx="52">
                    <c:v>Mar</c:v>
                  </c:pt>
                  <c:pt idx="53">
                    <c:v>Apr</c:v>
                  </c:pt>
                  <c:pt idx="54">
                    <c:v>Apr</c:v>
                  </c:pt>
                  <c:pt idx="55">
                    <c:v>Apr</c:v>
                  </c:pt>
                  <c:pt idx="56">
                    <c:v>Apr</c:v>
                  </c:pt>
                  <c:pt idx="57">
                    <c:v>May</c:v>
                  </c:pt>
                  <c:pt idx="58">
                    <c:v>May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June</c:v>
                  </c:pt>
                  <c:pt idx="62">
                    <c:v>June</c:v>
                  </c:pt>
                  <c:pt idx="63">
                    <c:v>June</c:v>
                  </c:pt>
                  <c:pt idx="64">
                    <c:v>June</c:v>
                  </c:pt>
                  <c:pt idx="65">
                    <c:v>July</c:v>
                  </c:pt>
                  <c:pt idx="66">
                    <c:v>July</c:v>
                  </c:pt>
                  <c:pt idx="67">
                    <c:v>July</c:v>
                  </c:pt>
                </c:lvl>
              </c:multiLvlStrCache>
            </c:multiLvlStrRef>
          </c:cat>
          <c:val>
            <c:numRef>
              <c:f>'S-Curve Baseline 1'!$B$10:$BQ$10</c:f>
              <c:numCache>
                <c:formatCode>General</c:formatCode>
                <c:ptCount val="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1E-437C-A8C9-78ED74AD4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996208"/>
        <c:axId val="395995792"/>
      </c:lineChart>
      <c:catAx>
        <c:axId val="5891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49519"/>
        <c:crosses val="autoZero"/>
        <c:auto val="1"/>
        <c:lblAlgn val="ctr"/>
        <c:lblOffset val="100"/>
        <c:noMultiLvlLbl val="0"/>
      </c:catAx>
      <c:valAx>
        <c:axId val="589149519"/>
        <c:scaling>
          <c:orientation val="minMax"/>
          <c:max val="0.2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51599"/>
        <c:crosses val="autoZero"/>
        <c:crossBetween val="between"/>
      </c:valAx>
      <c:valAx>
        <c:axId val="395995792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96208"/>
        <c:crosses val="max"/>
        <c:crossBetween val="between"/>
      </c:valAx>
      <c:catAx>
        <c:axId val="39599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59957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pattFill prst="dkDnDiag">
          <a:fgClr>
            <a:schemeClr val="bg1">
              <a:lumMod val="95000"/>
            </a:schemeClr>
          </a:fgClr>
          <a:bgClr>
            <a:schemeClr val="bg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PH"/>
              <a:t>ELECTRICAL INSTALLATION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5"/>
          <c:order val="6"/>
          <c:tx>
            <c:strRef>
              <c:f>'S-Curve Baseline 2'!$A$13</c:f>
              <c:strCache>
                <c:ptCount val="1"/>
                <c:pt idx="0">
                  <c:v>Current week highligter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'S-Curve Baseline 2'!$B$13:$CP$13</c:f>
            </c:numRef>
          </c:val>
          <c:extLst>
            <c:ext xmlns:c16="http://schemas.microsoft.com/office/drawing/2014/chart" uri="{C3380CC4-5D6E-409C-BE32-E72D297353CC}">
              <c16:uniqueId val="{00000008-5CEB-40A5-96C1-3011A29A8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89151599"/>
        <c:axId val="589149519"/>
      </c:barChart>
      <c:barChart>
        <c:barDir val="col"/>
        <c:grouping val="clustered"/>
        <c:varyColors val="0"/>
        <c:ser>
          <c:idx val="0"/>
          <c:order val="3"/>
          <c:tx>
            <c:strRef>
              <c:f>'S-Curve Baseline 2'!$A$6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4">
                <a:shade val="4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'S-Curve Baseline 2'!$B$6:$CP$6</c:f>
              <c:numCache>
                <c:formatCode>0.00%</c:formatCode>
                <c:ptCount val="93"/>
                <c:pt idx="0">
                  <c:v>0</c:v>
                </c:pt>
                <c:pt idx="1">
                  <c:v>4.1736227045075132E-3</c:v>
                </c:pt>
                <c:pt idx="2">
                  <c:v>4.1736227045075123E-3</c:v>
                </c:pt>
                <c:pt idx="3">
                  <c:v>4.1736227045075132E-3</c:v>
                </c:pt>
                <c:pt idx="4">
                  <c:v>4.1736227045075132E-3</c:v>
                </c:pt>
                <c:pt idx="5">
                  <c:v>4.1736227045075097E-3</c:v>
                </c:pt>
                <c:pt idx="6">
                  <c:v>4.1736227045075132E-3</c:v>
                </c:pt>
                <c:pt idx="7">
                  <c:v>4.1736227045075167E-3</c:v>
                </c:pt>
                <c:pt idx="8">
                  <c:v>4.1736227045075097E-3</c:v>
                </c:pt>
                <c:pt idx="9">
                  <c:v>4.1736227045075097E-3</c:v>
                </c:pt>
                <c:pt idx="10">
                  <c:v>4.1736227045075167E-3</c:v>
                </c:pt>
                <c:pt idx="11">
                  <c:v>4.1736227045075097E-3</c:v>
                </c:pt>
                <c:pt idx="12">
                  <c:v>6.3126043405676152E-3</c:v>
                </c:pt>
                <c:pt idx="13">
                  <c:v>0</c:v>
                </c:pt>
                <c:pt idx="14">
                  <c:v>1.1477462437395655E-2</c:v>
                </c:pt>
                <c:pt idx="15">
                  <c:v>6.5734557595993337E-3</c:v>
                </c:pt>
                <c:pt idx="16">
                  <c:v>6.5734557595993337E-3</c:v>
                </c:pt>
                <c:pt idx="17">
                  <c:v>7.8777128547579262E-3</c:v>
                </c:pt>
                <c:pt idx="18">
                  <c:v>1.6277128547579345E-3</c:v>
                </c:pt>
                <c:pt idx="19">
                  <c:v>4.632721202003337E-3</c:v>
                </c:pt>
                <c:pt idx="20">
                  <c:v>5.0083472454090089E-3</c:v>
                </c:pt>
                <c:pt idx="21">
                  <c:v>5.6761268781302249E-3</c:v>
                </c:pt>
                <c:pt idx="22">
                  <c:v>1.0016694490817962E-3</c:v>
                </c:pt>
                <c:pt idx="23">
                  <c:v>2.399833055091824E-3</c:v>
                </c:pt>
                <c:pt idx="24">
                  <c:v>2.6919866444073404E-3</c:v>
                </c:pt>
                <c:pt idx="25">
                  <c:v>1.4816360601001693E-3</c:v>
                </c:pt>
                <c:pt idx="26">
                  <c:v>2.0868113522537618E-3</c:v>
                </c:pt>
                <c:pt idx="27">
                  <c:v>0</c:v>
                </c:pt>
                <c:pt idx="28">
                  <c:v>1.043405676126874E-3</c:v>
                </c:pt>
                <c:pt idx="29">
                  <c:v>2.6085141903171988E-3</c:v>
                </c:pt>
                <c:pt idx="30">
                  <c:v>1.2520868113522488E-3</c:v>
                </c:pt>
                <c:pt idx="31">
                  <c:v>8.3472454090151305E-4</c:v>
                </c:pt>
                <c:pt idx="32">
                  <c:v>4.6953255425709467E-3</c:v>
                </c:pt>
                <c:pt idx="33">
                  <c:v>1.9720367278798001E-2</c:v>
                </c:pt>
                <c:pt idx="34">
                  <c:v>9.3489148580968018E-3</c:v>
                </c:pt>
                <c:pt idx="35">
                  <c:v>1.1936560565943249E-2</c:v>
                </c:pt>
                <c:pt idx="36">
                  <c:v>1.4482471153589305E-2</c:v>
                </c:pt>
                <c:pt idx="37">
                  <c:v>9.6828046744574514E-3</c:v>
                </c:pt>
                <c:pt idx="38">
                  <c:v>2.9632721202003387E-3</c:v>
                </c:pt>
                <c:pt idx="39">
                  <c:v>2.9632721202003109E-3</c:v>
                </c:pt>
                <c:pt idx="40">
                  <c:v>1.1769616026711227E-2</c:v>
                </c:pt>
                <c:pt idx="41">
                  <c:v>0</c:v>
                </c:pt>
                <c:pt idx="42">
                  <c:v>2.9173622704507518E-2</c:v>
                </c:pt>
                <c:pt idx="43">
                  <c:v>8.7228714524206219E-3</c:v>
                </c:pt>
                <c:pt idx="44">
                  <c:v>4.0667779632721224E-2</c:v>
                </c:pt>
                <c:pt idx="45">
                  <c:v>1.653589315525883E-2</c:v>
                </c:pt>
                <c:pt idx="46">
                  <c:v>1.3973288814691176E-2</c:v>
                </c:pt>
                <c:pt idx="47">
                  <c:v>1.8313856427378927E-2</c:v>
                </c:pt>
                <c:pt idx="48">
                  <c:v>1.0000000000000564E-3</c:v>
                </c:pt>
                <c:pt idx="49">
                  <c:v>1.2731218697829727E-2</c:v>
                </c:pt>
                <c:pt idx="50">
                  <c:v>2.2954924874791283E-2</c:v>
                </c:pt>
                <c:pt idx="51">
                  <c:v>8.3722871452420189E-3</c:v>
                </c:pt>
                <c:pt idx="52">
                  <c:v>1.0000000000000009E-2</c:v>
                </c:pt>
                <c:pt idx="53">
                  <c:v>1.0000000000000009E-2</c:v>
                </c:pt>
                <c:pt idx="54">
                  <c:v>5.9868959868960014E-3</c:v>
                </c:pt>
                <c:pt idx="55">
                  <c:v>0</c:v>
                </c:pt>
                <c:pt idx="56">
                  <c:v>3.9931301008095554E-2</c:v>
                </c:pt>
                <c:pt idx="57">
                  <c:v>4.2378964941569397E-2</c:v>
                </c:pt>
                <c:pt idx="58">
                  <c:v>3.262938230383966E-2</c:v>
                </c:pt>
                <c:pt idx="59">
                  <c:v>7.879799759599404E-3</c:v>
                </c:pt>
                <c:pt idx="60">
                  <c:v>1.3722871358931577E-2</c:v>
                </c:pt>
                <c:pt idx="61">
                  <c:v>1.0041736227045073E-2</c:v>
                </c:pt>
                <c:pt idx="62">
                  <c:v>1.1661101836394017E-2</c:v>
                </c:pt>
                <c:pt idx="63">
                  <c:v>7.3038395776292564E-3</c:v>
                </c:pt>
                <c:pt idx="64">
                  <c:v>7.8464108397328092E-3</c:v>
                </c:pt>
                <c:pt idx="65">
                  <c:v>1.0617696160267198E-2</c:v>
                </c:pt>
                <c:pt idx="66">
                  <c:v>5.2003340000000842E-3</c:v>
                </c:pt>
                <c:pt idx="67">
                  <c:v>3.0050079999999202E-3</c:v>
                </c:pt>
                <c:pt idx="68">
                  <c:v>1.1427379202003429E-2</c:v>
                </c:pt>
                <c:pt idx="69">
                  <c:v>0</c:v>
                </c:pt>
                <c:pt idx="70">
                  <c:v>3.0884808013356135E-3</c:v>
                </c:pt>
                <c:pt idx="71">
                  <c:v>5.008347245408995E-3</c:v>
                </c:pt>
                <c:pt idx="72">
                  <c:v>2.6794657762936325E-3</c:v>
                </c:pt>
                <c:pt idx="73">
                  <c:v>3.9232053422372237E-3</c:v>
                </c:pt>
                <c:pt idx="74">
                  <c:v>3.1719532554256302E-3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B-40A5-96C1-3011A29A853D}"/>
            </c:ext>
          </c:extLst>
        </c:ser>
        <c:ser>
          <c:idx val="7"/>
          <c:order val="4"/>
          <c:tx>
            <c:strRef>
              <c:f>'S-Curve Baseline 2'!$A$5</c:f>
              <c:strCache>
                <c:ptCount val="1"/>
                <c:pt idx="0">
                  <c:v>Planned Weekly</c:v>
                </c:pt>
              </c:strCache>
            </c:strRef>
          </c:tx>
          <c:spPr>
            <a:solidFill>
              <a:schemeClr val="accent4">
                <a:tint val="46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'S-Curve Baseline 2'!$B$5:$CP$5</c:f>
              <c:numCache>
                <c:formatCode>0%</c:formatCode>
                <c:ptCount val="93"/>
                <c:pt idx="0">
                  <c:v>2.9215358931552588E-3</c:v>
                </c:pt>
                <c:pt idx="1">
                  <c:v>4.1736227045075132E-3</c:v>
                </c:pt>
                <c:pt idx="2">
                  <c:v>4.1736227045075123E-3</c:v>
                </c:pt>
                <c:pt idx="3">
                  <c:v>4.1736227045075132E-3</c:v>
                </c:pt>
                <c:pt idx="4">
                  <c:v>4.1736227045075132E-3</c:v>
                </c:pt>
                <c:pt idx="5">
                  <c:v>4.1736227045075097E-3</c:v>
                </c:pt>
                <c:pt idx="6">
                  <c:v>4.1736227045075132E-3</c:v>
                </c:pt>
                <c:pt idx="7">
                  <c:v>4.1736227045075167E-3</c:v>
                </c:pt>
                <c:pt idx="8">
                  <c:v>4.1736227045075097E-3</c:v>
                </c:pt>
                <c:pt idx="9">
                  <c:v>4.1736227045075097E-3</c:v>
                </c:pt>
                <c:pt idx="10">
                  <c:v>4.1736227045075167E-3</c:v>
                </c:pt>
                <c:pt idx="11">
                  <c:v>4.1736227045075097E-3</c:v>
                </c:pt>
                <c:pt idx="12">
                  <c:v>6.3126043405676152E-3</c:v>
                </c:pt>
                <c:pt idx="13">
                  <c:v>6.5734557595993337E-3</c:v>
                </c:pt>
                <c:pt idx="14">
                  <c:v>4.9040066777963215E-3</c:v>
                </c:pt>
                <c:pt idx="15">
                  <c:v>6.5734557595993337E-3</c:v>
                </c:pt>
                <c:pt idx="16">
                  <c:v>6.5734557595993337E-3</c:v>
                </c:pt>
                <c:pt idx="17">
                  <c:v>6.5734557595993337E-3</c:v>
                </c:pt>
                <c:pt idx="18">
                  <c:v>6.3647746243739589E-3</c:v>
                </c:pt>
                <c:pt idx="19">
                  <c:v>2.5980801335559259E-2</c:v>
                </c:pt>
                <c:pt idx="20">
                  <c:v>2.0607262103505844E-2</c:v>
                </c:pt>
                <c:pt idx="21">
                  <c:v>1.9720367278798001E-2</c:v>
                </c:pt>
                <c:pt idx="22">
                  <c:v>1.9563856427378956E-2</c:v>
                </c:pt>
                <c:pt idx="23">
                  <c:v>1.9720367278798001E-2</c:v>
                </c:pt>
                <c:pt idx="24">
                  <c:v>1.9720367278798001E-2</c:v>
                </c:pt>
                <c:pt idx="25">
                  <c:v>1.9720367278798001E-2</c:v>
                </c:pt>
                <c:pt idx="26">
                  <c:v>1.9720367278797973E-2</c:v>
                </c:pt>
                <c:pt idx="27">
                  <c:v>1.7998747913188673E-2</c:v>
                </c:pt>
                <c:pt idx="28">
                  <c:v>1.9407345575959911E-2</c:v>
                </c:pt>
                <c:pt idx="29">
                  <c:v>1.9720367278798001E-2</c:v>
                </c:pt>
                <c:pt idx="30">
                  <c:v>1.9720367278798001E-2</c:v>
                </c:pt>
                <c:pt idx="31">
                  <c:v>1.9720367278798001E-2</c:v>
                </c:pt>
                <c:pt idx="32">
                  <c:v>1.9720367278798001E-2</c:v>
                </c:pt>
                <c:pt idx="33">
                  <c:v>1.9720367278798001E-2</c:v>
                </c:pt>
                <c:pt idx="34">
                  <c:v>1.9720367278798001E-2</c:v>
                </c:pt>
                <c:pt idx="35">
                  <c:v>1.9720367278798001E-2</c:v>
                </c:pt>
                <c:pt idx="36">
                  <c:v>6.3752086811352249E-2</c:v>
                </c:pt>
                <c:pt idx="37">
                  <c:v>6.6204090150250416E-2</c:v>
                </c:pt>
                <c:pt idx="38">
                  <c:v>4.3823038397328817E-2</c:v>
                </c:pt>
                <c:pt idx="39">
                  <c:v>3.8710350584307274E-2</c:v>
                </c:pt>
                <c:pt idx="40">
                  <c:v>6.5786727879799667E-2</c:v>
                </c:pt>
                <c:pt idx="41">
                  <c:v>6.5056343906510827E-2</c:v>
                </c:pt>
                <c:pt idx="42">
                  <c:v>6.1560934891485841E-2</c:v>
                </c:pt>
                <c:pt idx="43">
                  <c:v>5.2118113522537479E-2</c:v>
                </c:pt>
                <c:pt idx="44">
                  <c:v>3.9179883138564353E-2</c:v>
                </c:pt>
                <c:pt idx="45">
                  <c:v>2.8380634390651083E-2</c:v>
                </c:pt>
                <c:pt idx="46">
                  <c:v>2.2068030050083398E-2</c:v>
                </c:pt>
                <c:pt idx="47">
                  <c:v>1.7529215358931594E-2</c:v>
                </c:pt>
                <c:pt idx="48">
                  <c:v>2.9215358931552471E-3</c:v>
                </c:pt>
                <c:pt idx="72" formatCode="0.00%">
                  <c:v>4.1156609637410746E-2</c:v>
                </c:pt>
                <c:pt idx="73" formatCode="0.00%">
                  <c:v>5.0368550368550369E-2</c:v>
                </c:pt>
                <c:pt idx="74" formatCode="0.00%">
                  <c:v>4.9549549549549599E-2</c:v>
                </c:pt>
                <c:pt idx="75" formatCode="0.00%">
                  <c:v>4.0950040950040956E-2</c:v>
                </c:pt>
                <c:pt idx="76" formatCode="0.00%">
                  <c:v>3.2760032760032698E-2</c:v>
                </c:pt>
                <c:pt idx="77" formatCode="0.00%">
                  <c:v>2.9402129402129606E-2</c:v>
                </c:pt>
                <c:pt idx="78" formatCode="0.00%">
                  <c:v>2.2522522522522515E-2</c:v>
                </c:pt>
                <c:pt idx="79" formatCode="0.00%">
                  <c:v>1.4578214578214399E-2</c:v>
                </c:pt>
                <c:pt idx="80" formatCode="0.00%">
                  <c:v>8.1900081900081467E-3</c:v>
                </c:pt>
                <c:pt idx="81" formatCode="0.00%">
                  <c:v>1.0565110565110669E-2</c:v>
                </c:pt>
                <c:pt idx="82" formatCode="0.00%">
                  <c:v>6.5520065520064952E-3</c:v>
                </c:pt>
                <c:pt idx="83" formatCode="0.00%">
                  <c:v>3.2760032760033031E-3</c:v>
                </c:pt>
                <c:pt idx="84" formatCode="0.00%">
                  <c:v>8.1900081900082577E-3</c:v>
                </c:pt>
                <c:pt idx="85" formatCode="0.00%">
                  <c:v>6.6339066339067276E-3</c:v>
                </c:pt>
                <c:pt idx="86" formatCode="0.00%">
                  <c:v>1.1793611793611603E-2</c:v>
                </c:pt>
                <c:pt idx="87" formatCode="0.00%">
                  <c:v>1.2285012285012331E-2</c:v>
                </c:pt>
                <c:pt idx="88" formatCode="0.00%">
                  <c:v>8.4357084357086221E-3</c:v>
                </c:pt>
                <c:pt idx="89" formatCode="0.00%">
                  <c:v>8.1900081900081467E-3</c:v>
                </c:pt>
                <c:pt idx="90" formatCode="0.00%">
                  <c:v>8.1900081900081467E-3</c:v>
                </c:pt>
                <c:pt idx="91" formatCode="0.00%">
                  <c:v>8.1900081900082577E-3</c:v>
                </c:pt>
                <c:pt idx="92" formatCode="0.00%">
                  <c:v>4.9140049140039554E-4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B-40A5-96C1-3011A29A85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1730100688"/>
        <c:axId val="1730107344"/>
      </c:barChart>
      <c:lineChart>
        <c:grouping val="standard"/>
        <c:varyColors val="0"/>
        <c:ser>
          <c:idx val="2"/>
          <c:order val="0"/>
          <c:tx>
            <c:strRef>
              <c:f>'S-Curve Baseline 2'!$A$9</c:f>
              <c:strCache>
                <c:ptCount val="1"/>
                <c:pt idx="0">
                  <c:v>Baseline % Accu.</c:v>
                </c:pt>
              </c:strCache>
            </c:strRef>
          </c:tx>
          <c:spPr>
            <a:ln w="2222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tint val="77000"/>
                  </a:schemeClr>
                </a:solidFill>
                <a:round/>
              </a:ln>
              <a:effectLst/>
            </c:spPr>
          </c:marker>
          <c:dLbls>
            <c:delete val="1"/>
          </c:dLbls>
          <c:cat>
            <c:multiLvlStrRef>
              <c:f>'S-Curve Baseline 2'!$B$3:$CP$4</c:f>
              <c:multiLvlStrCache>
                <c:ptCount val="93"/>
                <c:lvl>
                  <c:pt idx="0">
                    <c:v>Week 2</c:v>
                  </c:pt>
                  <c:pt idx="1">
                    <c:v>Week 3</c:v>
                  </c:pt>
                  <c:pt idx="2">
                    <c:v>Week 4</c:v>
                  </c:pt>
                  <c:pt idx="3">
                    <c:v>Week 5</c:v>
                  </c:pt>
                  <c:pt idx="4">
                    <c:v>Week 6</c:v>
                  </c:pt>
                  <c:pt idx="5">
                    <c:v>Week 7</c:v>
                  </c:pt>
                  <c:pt idx="6">
                    <c:v>Week 8</c:v>
                  </c:pt>
                  <c:pt idx="7">
                    <c:v>Week 9</c:v>
                  </c:pt>
                  <c:pt idx="8">
                    <c:v>Week 10</c:v>
                  </c:pt>
                  <c:pt idx="9">
                    <c:v>Week 11</c:v>
                  </c:pt>
                  <c:pt idx="10">
                    <c:v>Week 12</c:v>
                  </c:pt>
                  <c:pt idx="11">
                    <c:v>Week 13</c:v>
                  </c:pt>
                  <c:pt idx="12">
                    <c:v>Week 14</c:v>
                  </c:pt>
                  <c:pt idx="13">
                    <c:v>Week 14</c:v>
                  </c:pt>
                  <c:pt idx="14">
                    <c:v>Week 15</c:v>
                  </c:pt>
                  <c:pt idx="15">
                    <c:v>Week 16</c:v>
                  </c:pt>
                  <c:pt idx="16">
                    <c:v>Week 17</c:v>
                  </c:pt>
                  <c:pt idx="17">
                    <c:v>Week 18</c:v>
                  </c:pt>
                  <c:pt idx="18">
                    <c:v>Week 19</c:v>
                  </c:pt>
                  <c:pt idx="19">
                    <c:v>Week 20</c:v>
                  </c:pt>
                  <c:pt idx="20">
                    <c:v>Week 21</c:v>
                  </c:pt>
                  <c:pt idx="21">
                    <c:v>Week 22</c:v>
                  </c:pt>
                  <c:pt idx="22">
                    <c:v>Week 23</c:v>
                  </c:pt>
                  <c:pt idx="23">
                    <c:v>Week 24</c:v>
                  </c:pt>
                  <c:pt idx="24">
                    <c:v>Week 25</c:v>
                  </c:pt>
                  <c:pt idx="25">
                    <c:v>Week 26</c:v>
                  </c:pt>
                  <c:pt idx="26">
                    <c:v>Week 27</c:v>
                  </c:pt>
                  <c:pt idx="27">
                    <c:v>Week 27</c:v>
                  </c:pt>
                  <c:pt idx="28">
                    <c:v>Week 28</c:v>
                  </c:pt>
                  <c:pt idx="29">
                    <c:v>Week 29</c:v>
                  </c:pt>
                  <c:pt idx="30">
                    <c:v>Week 30</c:v>
                  </c:pt>
                  <c:pt idx="31">
                    <c:v>Week 31</c:v>
                  </c:pt>
                  <c:pt idx="32">
                    <c:v>Week 32</c:v>
                  </c:pt>
                  <c:pt idx="33">
                    <c:v>Week 33</c:v>
                  </c:pt>
                  <c:pt idx="34">
                    <c:v>Week 34</c:v>
                  </c:pt>
                  <c:pt idx="35">
                    <c:v>Week 35</c:v>
                  </c:pt>
                  <c:pt idx="36">
                    <c:v>Week 36</c:v>
                  </c:pt>
                  <c:pt idx="37">
                    <c:v>Week 37</c:v>
                  </c:pt>
                  <c:pt idx="38">
                    <c:v>Week 38</c:v>
                  </c:pt>
                  <c:pt idx="39">
                    <c:v>Week 39</c:v>
                  </c:pt>
                  <c:pt idx="40">
                    <c:v>Week 40</c:v>
                  </c:pt>
                  <c:pt idx="41">
                    <c:v>Week 40</c:v>
                  </c:pt>
                  <c:pt idx="42">
                    <c:v>Week 41</c:v>
                  </c:pt>
                  <c:pt idx="43">
                    <c:v>Week 42</c:v>
                  </c:pt>
                  <c:pt idx="44">
                    <c:v>Week 43</c:v>
                  </c:pt>
                  <c:pt idx="45">
                    <c:v>Week 44</c:v>
                  </c:pt>
                  <c:pt idx="46">
                    <c:v>Week 45</c:v>
                  </c:pt>
                  <c:pt idx="47">
                    <c:v>Week 46</c:v>
                  </c:pt>
                  <c:pt idx="48">
                    <c:v>Week 47</c:v>
                  </c:pt>
                  <c:pt idx="49">
                    <c:v>Week 48</c:v>
                  </c:pt>
                  <c:pt idx="50">
                    <c:v>Week 49</c:v>
                  </c:pt>
                  <c:pt idx="51">
                    <c:v>Week 50</c:v>
                  </c:pt>
                  <c:pt idx="52">
                    <c:v>Week 51</c:v>
                  </c:pt>
                  <c:pt idx="53">
                    <c:v>Week 52</c:v>
                  </c:pt>
                  <c:pt idx="54">
                    <c:v>Week 1</c:v>
                  </c:pt>
                  <c:pt idx="55">
                    <c:v>Week 1</c:v>
                  </c:pt>
                  <c:pt idx="56">
                    <c:v>Week 2</c:v>
                  </c:pt>
                  <c:pt idx="57">
                    <c:v>Week 3</c:v>
                  </c:pt>
                  <c:pt idx="58">
                    <c:v>Week 4</c:v>
                  </c:pt>
                  <c:pt idx="59">
                    <c:v>Week 5</c:v>
                  </c:pt>
                  <c:pt idx="60">
                    <c:v>Week 6</c:v>
                  </c:pt>
                  <c:pt idx="61">
                    <c:v>Week 7</c:v>
                  </c:pt>
                  <c:pt idx="62">
                    <c:v>Week 8</c:v>
                  </c:pt>
                  <c:pt idx="63">
                    <c:v>Week 9</c:v>
                  </c:pt>
                  <c:pt idx="64">
                    <c:v>Week 10</c:v>
                  </c:pt>
                  <c:pt idx="65">
                    <c:v>Week 11</c:v>
                  </c:pt>
                  <c:pt idx="66">
                    <c:v>Week 12</c:v>
                  </c:pt>
                  <c:pt idx="67">
                    <c:v>Week 13</c:v>
                  </c:pt>
                  <c:pt idx="68">
                    <c:v>Week 14</c:v>
                  </c:pt>
                  <c:pt idx="69">
                    <c:v>Week 14</c:v>
                  </c:pt>
                  <c:pt idx="70">
                    <c:v>Week 15</c:v>
                  </c:pt>
                  <c:pt idx="71">
                    <c:v>Week 16</c:v>
                  </c:pt>
                  <c:pt idx="72">
                    <c:v>Week 17</c:v>
                  </c:pt>
                  <c:pt idx="73">
                    <c:v>Week 18</c:v>
                  </c:pt>
                  <c:pt idx="74">
                    <c:v>Week 19</c:v>
                  </c:pt>
                  <c:pt idx="75">
                    <c:v>Week 20</c:v>
                  </c:pt>
                  <c:pt idx="76">
                    <c:v>Week 21</c:v>
                  </c:pt>
                  <c:pt idx="77">
                    <c:v>Week 22</c:v>
                  </c:pt>
                  <c:pt idx="78">
                    <c:v>Week 23</c:v>
                  </c:pt>
                  <c:pt idx="79">
                    <c:v>Week 24</c:v>
                  </c:pt>
                  <c:pt idx="80">
                    <c:v>Week 25</c:v>
                  </c:pt>
                  <c:pt idx="81">
                    <c:v>Week 26</c:v>
                  </c:pt>
                  <c:pt idx="82">
                    <c:v>Week 27</c:v>
                  </c:pt>
                  <c:pt idx="83">
                    <c:v>Week 27</c:v>
                  </c:pt>
                  <c:pt idx="84">
                    <c:v>Week 28</c:v>
                  </c:pt>
                  <c:pt idx="85">
                    <c:v>Week 29</c:v>
                  </c:pt>
                  <c:pt idx="86">
                    <c:v>Week 30</c:v>
                  </c:pt>
                  <c:pt idx="87">
                    <c:v>Week 31</c:v>
                  </c:pt>
                  <c:pt idx="88">
                    <c:v>Week 32</c:v>
                  </c:pt>
                  <c:pt idx="89">
                    <c:v>Week 33</c:v>
                  </c:pt>
                  <c:pt idx="90">
                    <c:v>Week 34</c:v>
                  </c:pt>
                  <c:pt idx="91">
                    <c:v>Week 35</c:v>
                  </c:pt>
                  <c:pt idx="92">
                    <c:v>Week 36</c:v>
                  </c:pt>
                </c:lvl>
                <c:lvl>
                  <c:pt idx="0">
                    <c:v>April</c:v>
                  </c:pt>
                  <c:pt idx="1">
                    <c:v>April</c:v>
                  </c:pt>
                  <c:pt idx="2">
                    <c:v>April</c:v>
                  </c:pt>
                  <c:pt idx="3">
                    <c:v>May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June</c:v>
                  </c:pt>
                  <c:pt idx="10">
                    <c:v>June</c:v>
                  </c:pt>
                  <c:pt idx="11">
                    <c:v>June</c:v>
                  </c:pt>
                  <c:pt idx="12">
                    <c:v>July</c:v>
                  </c:pt>
                  <c:pt idx="13">
                    <c:v>July</c:v>
                  </c:pt>
                  <c:pt idx="14">
                    <c:v>July</c:v>
                  </c:pt>
                  <c:pt idx="15">
                    <c:v>July</c:v>
                  </c:pt>
                  <c:pt idx="16">
                    <c:v>July</c:v>
                  </c:pt>
                  <c:pt idx="17">
                    <c:v>August</c:v>
                  </c:pt>
                  <c:pt idx="18">
                    <c:v>August</c:v>
                  </c:pt>
                  <c:pt idx="19">
                    <c:v>August</c:v>
                  </c:pt>
                  <c:pt idx="20">
                    <c:v>August</c:v>
                  </c:pt>
                  <c:pt idx="21">
                    <c:v>August</c:v>
                  </c:pt>
                  <c:pt idx="22">
                    <c:v>September</c:v>
                  </c:pt>
                  <c:pt idx="23">
                    <c:v>September</c:v>
                  </c:pt>
                  <c:pt idx="24">
                    <c:v>September</c:v>
                  </c:pt>
                  <c:pt idx="25">
                    <c:v>September</c:v>
                  </c:pt>
                  <c:pt idx="26">
                    <c:v>October</c:v>
                  </c:pt>
                  <c:pt idx="27">
                    <c:v>October</c:v>
                  </c:pt>
                  <c:pt idx="28">
                    <c:v>October</c:v>
                  </c:pt>
                  <c:pt idx="29">
                    <c:v>October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November</c:v>
                  </c:pt>
                  <c:pt idx="33">
                    <c:v>November</c:v>
                  </c:pt>
                  <c:pt idx="34">
                    <c:v>November</c:v>
                  </c:pt>
                  <c:pt idx="35">
                    <c:v>November</c:v>
                  </c:pt>
                  <c:pt idx="36">
                    <c:v>December</c:v>
                  </c:pt>
                  <c:pt idx="37">
                    <c:v>December</c:v>
                  </c:pt>
                  <c:pt idx="38">
                    <c:v>December</c:v>
                  </c:pt>
                  <c:pt idx="39">
                    <c:v>December</c:v>
                  </c:pt>
                  <c:pt idx="40">
                    <c:v>January</c:v>
                  </c:pt>
                  <c:pt idx="41">
                    <c:v>January</c:v>
                  </c:pt>
                  <c:pt idx="42">
                    <c:v>January</c:v>
                  </c:pt>
                  <c:pt idx="43">
                    <c:v>January</c:v>
                  </c:pt>
                  <c:pt idx="44">
                    <c:v>January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February</c:v>
                  </c:pt>
                  <c:pt idx="48">
                    <c:v>February</c:v>
                  </c:pt>
                  <c:pt idx="49">
                    <c:v>February</c:v>
                  </c:pt>
                  <c:pt idx="50">
                    <c:v>March</c:v>
                  </c:pt>
                  <c:pt idx="51">
                    <c:v>March</c:v>
                  </c:pt>
                  <c:pt idx="52">
                    <c:v>March</c:v>
                  </c:pt>
                  <c:pt idx="53">
                    <c:v>March</c:v>
                  </c:pt>
                  <c:pt idx="54">
                    <c:v>March</c:v>
                  </c:pt>
                  <c:pt idx="55">
                    <c:v>April</c:v>
                  </c:pt>
                  <c:pt idx="56">
                    <c:v>April</c:v>
                  </c:pt>
                  <c:pt idx="57">
                    <c:v>April</c:v>
                  </c:pt>
                  <c:pt idx="58">
                    <c:v>April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May</c:v>
                  </c:pt>
                  <c:pt idx="62">
                    <c:v>May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June</c:v>
                  </c:pt>
                  <c:pt idx="66">
                    <c:v>June</c:v>
                  </c:pt>
                  <c:pt idx="67">
                    <c:v>June</c:v>
                  </c:pt>
                  <c:pt idx="68">
                    <c:v>July</c:v>
                  </c:pt>
                  <c:pt idx="69">
                    <c:v>July</c:v>
                  </c:pt>
                  <c:pt idx="70">
                    <c:v>July</c:v>
                  </c:pt>
                  <c:pt idx="71">
                    <c:v>July</c:v>
                  </c:pt>
                  <c:pt idx="72">
                    <c:v>July</c:v>
                  </c:pt>
                  <c:pt idx="73">
                    <c:v>August</c:v>
                  </c:pt>
                  <c:pt idx="74">
                    <c:v>August</c:v>
                  </c:pt>
                  <c:pt idx="75">
                    <c:v>August</c:v>
                  </c:pt>
                  <c:pt idx="76">
                    <c:v>August</c:v>
                  </c:pt>
                  <c:pt idx="77">
                    <c:v>August</c:v>
                  </c:pt>
                  <c:pt idx="78">
                    <c:v>October</c:v>
                  </c:pt>
                  <c:pt idx="79">
                    <c:v>October</c:v>
                  </c:pt>
                  <c:pt idx="80">
                    <c:v>October</c:v>
                  </c:pt>
                  <c:pt idx="81">
                    <c:v>October</c:v>
                  </c:pt>
                  <c:pt idx="82">
                    <c:v>October</c:v>
                  </c:pt>
                  <c:pt idx="83">
                    <c:v>October</c:v>
                  </c:pt>
                  <c:pt idx="84">
                    <c:v>October</c:v>
                  </c:pt>
                  <c:pt idx="85">
                    <c:v>October</c:v>
                  </c:pt>
                  <c:pt idx="86">
                    <c:v>October</c:v>
                  </c:pt>
                  <c:pt idx="87">
                    <c:v>October</c:v>
                  </c:pt>
                  <c:pt idx="88">
                    <c:v>November</c:v>
                  </c:pt>
                  <c:pt idx="89">
                    <c:v>November</c:v>
                  </c:pt>
                  <c:pt idx="90">
                    <c:v>November</c:v>
                  </c:pt>
                  <c:pt idx="91">
                    <c:v>November</c:v>
                  </c:pt>
                  <c:pt idx="92">
                    <c:v>November</c:v>
                  </c:pt>
                </c:lvl>
              </c:multiLvlStrCache>
            </c:multiLvlStrRef>
          </c:cat>
          <c:val>
            <c:numRef>
              <c:f>'S-Curve Baseline 2'!$B$9:$CP$9</c:f>
              <c:numCache>
                <c:formatCode>0.00%</c:formatCode>
                <c:ptCount val="93"/>
                <c:pt idx="0" formatCode="0%">
                  <c:v>2.8665028665028664E-3</c:v>
                </c:pt>
                <c:pt idx="1">
                  <c:v>6.9615069615069618E-3</c:v>
                </c:pt>
                <c:pt idx="2">
                  <c:v>1.1056511056511056E-2</c:v>
                </c:pt>
                <c:pt idx="3">
                  <c:v>1.5151515151515152E-2</c:v>
                </c:pt>
                <c:pt idx="4">
                  <c:v>1.9246519246519246E-2</c:v>
                </c:pt>
                <c:pt idx="5">
                  <c:v>2.334152334152334E-2</c:v>
                </c:pt>
                <c:pt idx="6">
                  <c:v>2.7436527436527438E-2</c:v>
                </c:pt>
                <c:pt idx="7">
                  <c:v>3.1531531531531529E-2</c:v>
                </c:pt>
                <c:pt idx="8">
                  <c:v>3.562653562653563E-2</c:v>
                </c:pt>
                <c:pt idx="9">
                  <c:v>3.9721539721539724E-2</c:v>
                </c:pt>
                <c:pt idx="10">
                  <c:v>4.3816543816543818E-2</c:v>
                </c:pt>
                <c:pt idx="11">
                  <c:v>4.7911547911547912E-2</c:v>
                </c:pt>
                <c:pt idx="12">
                  <c:v>4.8730548730548731E-2</c:v>
                </c:pt>
                <c:pt idx="13">
                  <c:v>5.4105241605241605E-2</c:v>
                </c:pt>
                <c:pt idx="14">
                  <c:v>6.0554873054873053E-2</c:v>
                </c:pt>
                <c:pt idx="15">
                  <c:v>6.5366502866502862E-2</c:v>
                </c:pt>
                <c:pt idx="16">
                  <c:v>7.1816134316134317E-2</c:v>
                </c:pt>
                <c:pt idx="17">
                  <c:v>7.8265765765765771E-2</c:v>
                </c:pt>
                <c:pt idx="18">
                  <c:v>8.4715397215397212E-2</c:v>
                </c:pt>
                <c:pt idx="19">
                  <c:v>9.096027846027846E-2</c:v>
                </c:pt>
                <c:pt idx="20">
                  <c:v>0.11645167895167895</c:v>
                </c:pt>
                <c:pt idx="21">
                  <c:v>0.13667076167076167</c:v>
                </c:pt>
                <c:pt idx="22">
                  <c:v>0.15601965601965603</c:v>
                </c:pt>
                <c:pt idx="23">
                  <c:v>0.17521498771498772</c:v>
                </c:pt>
                <c:pt idx="24">
                  <c:v>0.19456388206388206</c:v>
                </c:pt>
                <c:pt idx="25">
                  <c:v>0.21391277641277642</c:v>
                </c:pt>
                <c:pt idx="26">
                  <c:v>0.22036240786240785</c:v>
                </c:pt>
                <c:pt idx="27">
                  <c:v>0.23326167076167076</c:v>
                </c:pt>
                <c:pt idx="28">
                  <c:v>0.25261056511056512</c:v>
                </c:pt>
                <c:pt idx="29">
                  <c:v>0.27027027027027029</c:v>
                </c:pt>
                <c:pt idx="30">
                  <c:v>0.2893120393120393</c:v>
                </c:pt>
                <c:pt idx="31">
                  <c:v>0.30866093366093367</c:v>
                </c:pt>
                <c:pt idx="32">
                  <c:v>0.32800982800982803</c:v>
                </c:pt>
                <c:pt idx="33">
                  <c:v>0.34735872235872234</c:v>
                </c:pt>
                <c:pt idx="34">
                  <c:v>0.3667076167076167</c:v>
                </c:pt>
                <c:pt idx="35">
                  <c:v>0.38605651105651106</c:v>
                </c:pt>
                <c:pt idx="36">
                  <c:v>0.40540540540540543</c:v>
                </c:pt>
                <c:pt idx="37">
                  <c:v>0.42475429975429974</c:v>
                </c:pt>
                <c:pt idx="38">
                  <c:v>0.48730548730548728</c:v>
                </c:pt>
                <c:pt idx="39">
                  <c:v>0.55226248976248982</c:v>
                </c:pt>
                <c:pt idx="40">
                  <c:v>0.59526003276003281</c:v>
                </c:pt>
                <c:pt idx="41">
                  <c:v>0.63324119574119575</c:v>
                </c:pt>
                <c:pt idx="42">
                  <c:v>0.69778869778869779</c:v>
                </c:pt>
                <c:pt idx="43">
                  <c:v>0.76161957411957415</c:v>
                </c:pt>
                <c:pt idx="44">
                  <c:v>0.82202088452088451</c:v>
                </c:pt>
                <c:pt idx="45">
                  <c:v>0.87315724815724816</c:v>
                </c:pt>
                <c:pt idx="46">
                  <c:v>0.91159909909909909</c:v>
                </c:pt>
                <c:pt idx="47">
                  <c:v>0.93944512694512694</c:v>
                </c:pt>
                <c:pt idx="48">
                  <c:v>0.96109746109746108</c:v>
                </c:pt>
                <c:pt idx="49">
                  <c:v>0.97829647829647826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EB-40A5-96C1-3011A29A853D}"/>
            </c:ext>
          </c:extLst>
        </c:ser>
        <c:ser>
          <c:idx val="3"/>
          <c:order val="1"/>
          <c:tx>
            <c:strRef>
              <c:f>'S-Curve Baseline 2'!$A$10</c:f>
              <c:strCache>
                <c:ptCount val="1"/>
                <c:pt idx="0">
                  <c:v>Baseline #2 % Accu.</c:v>
                </c:pt>
              </c:strCache>
            </c:strRef>
          </c:tx>
          <c:spPr>
            <a:ln w="2222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tint val="93000"/>
                  </a:schemeClr>
                </a:solidFill>
                <a:round/>
              </a:ln>
              <a:effectLst/>
            </c:spPr>
          </c:marker>
          <c:dLbls>
            <c:delete val="1"/>
          </c:dLbls>
          <c:cat>
            <c:multiLvlStrRef>
              <c:f>'S-Curve Baseline 2'!$B$3:$CP$4</c:f>
              <c:multiLvlStrCache>
                <c:ptCount val="93"/>
                <c:lvl>
                  <c:pt idx="0">
                    <c:v>Week 2</c:v>
                  </c:pt>
                  <c:pt idx="1">
                    <c:v>Week 3</c:v>
                  </c:pt>
                  <c:pt idx="2">
                    <c:v>Week 4</c:v>
                  </c:pt>
                  <c:pt idx="3">
                    <c:v>Week 5</c:v>
                  </c:pt>
                  <c:pt idx="4">
                    <c:v>Week 6</c:v>
                  </c:pt>
                  <c:pt idx="5">
                    <c:v>Week 7</c:v>
                  </c:pt>
                  <c:pt idx="6">
                    <c:v>Week 8</c:v>
                  </c:pt>
                  <c:pt idx="7">
                    <c:v>Week 9</c:v>
                  </c:pt>
                  <c:pt idx="8">
                    <c:v>Week 10</c:v>
                  </c:pt>
                  <c:pt idx="9">
                    <c:v>Week 11</c:v>
                  </c:pt>
                  <c:pt idx="10">
                    <c:v>Week 12</c:v>
                  </c:pt>
                  <c:pt idx="11">
                    <c:v>Week 13</c:v>
                  </c:pt>
                  <c:pt idx="12">
                    <c:v>Week 14</c:v>
                  </c:pt>
                  <c:pt idx="13">
                    <c:v>Week 14</c:v>
                  </c:pt>
                  <c:pt idx="14">
                    <c:v>Week 15</c:v>
                  </c:pt>
                  <c:pt idx="15">
                    <c:v>Week 16</c:v>
                  </c:pt>
                  <c:pt idx="16">
                    <c:v>Week 17</c:v>
                  </c:pt>
                  <c:pt idx="17">
                    <c:v>Week 18</c:v>
                  </c:pt>
                  <c:pt idx="18">
                    <c:v>Week 19</c:v>
                  </c:pt>
                  <c:pt idx="19">
                    <c:v>Week 20</c:v>
                  </c:pt>
                  <c:pt idx="20">
                    <c:v>Week 21</c:v>
                  </c:pt>
                  <c:pt idx="21">
                    <c:v>Week 22</c:v>
                  </c:pt>
                  <c:pt idx="22">
                    <c:v>Week 23</c:v>
                  </c:pt>
                  <c:pt idx="23">
                    <c:v>Week 24</c:v>
                  </c:pt>
                  <c:pt idx="24">
                    <c:v>Week 25</c:v>
                  </c:pt>
                  <c:pt idx="25">
                    <c:v>Week 26</c:v>
                  </c:pt>
                  <c:pt idx="26">
                    <c:v>Week 27</c:v>
                  </c:pt>
                  <c:pt idx="27">
                    <c:v>Week 27</c:v>
                  </c:pt>
                  <c:pt idx="28">
                    <c:v>Week 28</c:v>
                  </c:pt>
                  <c:pt idx="29">
                    <c:v>Week 29</c:v>
                  </c:pt>
                  <c:pt idx="30">
                    <c:v>Week 30</c:v>
                  </c:pt>
                  <c:pt idx="31">
                    <c:v>Week 31</c:v>
                  </c:pt>
                  <c:pt idx="32">
                    <c:v>Week 32</c:v>
                  </c:pt>
                  <c:pt idx="33">
                    <c:v>Week 33</c:v>
                  </c:pt>
                  <c:pt idx="34">
                    <c:v>Week 34</c:v>
                  </c:pt>
                  <c:pt idx="35">
                    <c:v>Week 35</c:v>
                  </c:pt>
                  <c:pt idx="36">
                    <c:v>Week 36</c:v>
                  </c:pt>
                  <c:pt idx="37">
                    <c:v>Week 37</c:v>
                  </c:pt>
                  <c:pt idx="38">
                    <c:v>Week 38</c:v>
                  </c:pt>
                  <c:pt idx="39">
                    <c:v>Week 39</c:v>
                  </c:pt>
                  <c:pt idx="40">
                    <c:v>Week 40</c:v>
                  </c:pt>
                  <c:pt idx="41">
                    <c:v>Week 40</c:v>
                  </c:pt>
                  <c:pt idx="42">
                    <c:v>Week 41</c:v>
                  </c:pt>
                  <c:pt idx="43">
                    <c:v>Week 42</c:v>
                  </c:pt>
                  <c:pt idx="44">
                    <c:v>Week 43</c:v>
                  </c:pt>
                  <c:pt idx="45">
                    <c:v>Week 44</c:v>
                  </c:pt>
                  <c:pt idx="46">
                    <c:v>Week 45</c:v>
                  </c:pt>
                  <c:pt idx="47">
                    <c:v>Week 46</c:v>
                  </c:pt>
                  <c:pt idx="48">
                    <c:v>Week 47</c:v>
                  </c:pt>
                  <c:pt idx="49">
                    <c:v>Week 48</c:v>
                  </c:pt>
                  <c:pt idx="50">
                    <c:v>Week 49</c:v>
                  </c:pt>
                  <c:pt idx="51">
                    <c:v>Week 50</c:v>
                  </c:pt>
                  <c:pt idx="52">
                    <c:v>Week 51</c:v>
                  </c:pt>
                  <c:pt idx="53">
                    <c:v>Week 52</c:v>
                  </c:pt>
                  <c:pt idx="54">
                    <c:v>Week 1</c:v>
                  </c:pt>
                  <c:pt idx="55">
                    <c:v>Week 1</c:v>
                  </c:pt>
                  <c:pt idx="56">
                    <c:v>Week 2</c:v>
                  </c:pt>
                  <c:pt idx="57">
                    <c:v>Week 3</c:v>
                  </c:pt>
                  <c:pt idx="58">
                    <c:v>Week 4</c:v>
                  </c:pt>
                  <c:pt idx="59">
                    <c:v>Week 5</c:v>
                  </c:pt>
                  <c:pt idx="60">
                    <c:v>Week 6</c:v>
                  </c:pt>
                  <c:pt idx="61">
                    <c:v>Week 7</c:v>
                  </c:pt>
                  <c:pt idx="62">
                    <c:v>Week 8</c:v>
                  </c:pt>
                  <c:pt idx="63">
                    <c:v>Week 9</c:v>
                  </c:pt>
                  <c:pt idx="64">
                    <c:v>Week 10</c:v>
                  </c:pt>
                  <c:pt idx="65">
                    <c:v>Week 11</c:v>
                  </c:pt>
                  <c:pt idx="66">
                    <c:v>Week 12</c:v>
                  </c:pt>
                  <c:pt idx="67">
                    <c:v>Week 13</c:v>
                  </c:pt>
                  <c:pt idx="68">
                    <c:v>Week 14</c:v>
                  </c:pt>
                  <c:pt idx="69">
                    <c:v>Week 14</c:v>
                  </c:pt>
                  <c:pt idx="70">
                    <c:v>Week 15</c:v>
                  </c:pt>
                  <c:pt idx="71">
                    <c:v>Week 16</c:v>
                  </c:pt>
                  <c:pt idx="72">
                    <c:v>Week 17</c:v>
                  </c:pt>
                  <c:pt idx="73">
                    <c:v>Week 18</c:v>
                  </c:pt>
                  <c:pt idx="74">
                    <c:v>Week 19</c:v>
                  </c:pt>
                  <c:pt idx="75">
                    <c:v>Week 20</c:v>
                  </c:pt>
                  <c:pt idx="76">
                    <c:v>Week 21</c:v>
                  </c:pt>
                  <c:pt idx="77">
                    <c:v>Week 22</c:v>
                  </c:pt>
                  <c:pt idx="78">
                    <c:v>Week 23</c:v>
                  </c:pt>
                  <c:pt idx="79">
                    <c:v>Week 24</c:v>
                  </c:pt>
                  <c:pt idx="80">
                    <c:v>Week 25</c:v>
                  </c:pt>
                  <c:pt idx="81">
                    <c:v>Week 26</c:v>
                  </c:pt>
                  <c:pt idx="82">
                    <c:v>Week 27</c:v>
                  </c:pt>
                  <c:pt idx="83">
                    <c:v>Week 27</c:v>
                  </c:pt>
                  <c:pt idx="84">
                    <c:v>Week 28</c:v>
                  </c:pt>
                  <c:pt idx="85">
                    <c:v>Week 29</c:v>
                  </c:pt>
                  <c:pt idx="86">
                    <c:v>Week 30</c:v>
                  </c:pt>
                  <c:pt idx="87">
                    <c:v>Week 31</c:v>
                  </c:pt>
                  <c:pt idx="88">
                    <c:v>Week 32</c:v>
                  </c:pt>
                  <c:pt idx="89">
                    <c:v>Week 33</c:v>
                  </c:pt>
                  <c:pt idx="90">
                    <c:v>Week 34</c:v>
                  </c:pt>
                  <c:pt idx="91">
                    <c:v>Week 35</c:v>
                  </c:pt>
                  <c:pt idx="92">
                    <c:v>Week 36</c:v>
                  </c:pt>
                </c:lvl>
                <c:lvl>
                  <c:pt idx="0">
                    <c:v>April</c:v>
                  </c:pt>
                  <c:pt idx="1">
                    <c:v>April</c:v>
                  </c:pt>
                  <c:pt idx="2">
                    <c:v>April</c:v>
                  </c:pt>
                  <c:pt idx="3">
                    <c:v>May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June</c:v>
                  </c:pt>
                  <c:pt idx="10">
                    <c:v>June</c:v>
                  </c:pt>
                  <c:pt idx="11">
                    <c:v>June</c:v>
                  </c:pt>
                  <c:pt idx="12">
                    <c:v>July</c:v>
                  </c:pt>
                  <c:pt idx="13">
                    <c:v>July</c:v>
                  </c:pt>
                  <c:pt idx="14">
                    <c:v>July</c:v>
                  </c:pt>
                  <c:pt idx="15">
                    <c:v>July</c:v>
                  </c:pt>
                  <c:pt idx="16">
                    <c:v>July</c:v>
                  </c:pt>
                  <c:pt idx="17">
                    <c:v>August</c:v>
                  </c:pt>
                  <c:pt idx="18">
                    <c:v>August</c:v>
                  </c:pt>
                  <c:pt idx="19">
                    <c:v>August</c:v>
                  </c:pt>
                  <c:pt idx="20">
                    <c:v>August</c:v>
                  </c:pt>
                  <c:pt idx="21">
                    <c:v>August</c:v>
                  </c:pt>
                  <c:pt idx="22">
                    <c:v>September</c:v>
                  </c:pt>
                  <c:pt idx="23">
                    <c:v>September</c:v>
                  </c:pt>
                  <c:pt idx="24">
                    <c:v>September</c:v>
                  </c:pt>
                  <c:pt idx="25">
                    <c:v>September</c:v>
                  </c:pt>
                  <c:pt idx="26">
                    <c:v>October</c:v>
                  </c:pt>
                  <c:pt idx="27">
                    <c:v>October</c:v>
                  </c:pt>
                  <c:pt idx="28">
                    <c:v>October</c:v>
                  </c:pt>
                  <c:pt idx="29">
                    <c:v>October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November</c:v>
                  </c:pt>
                  <c:pt idx="33">
                    <c:v>November</c:v>
                  </c:pt>
                  <c:pt idx="34">
                    <c:v>November</c:v>
                  </c:pt>
                  <c:pt idx="35">
                    <c:v>November</c:v>
                  </c:pt>
                  <c:pt idx="36">
                    <c:v>December</c:v>
                  </c:pt>
                  <c:pt idx="37">
                    <c:v>December</c:v>
                  </c:pt>
                  <c:pt idx="38">
                    <c:v>December</c:v>
                  </c:pt>
                  <c:pt idx="39">
                    <c:v>December</c:v>
                  </c:pt>
                  <c:pt idx="40">
                    <c:v>January</c:v>
                  </c:pt>
                  <c:pt idx="41">
                    <c:v>January</c:v>
                  </c:pt>
                  <c:pt idx="42">
                    <c:v>January</c:v>
                  </c:pt>
                  <c:pt idx="43">
                    <c:v>January</c:v>
                  </c:pt>
                  <c:pt idx="44">
                    <c:v>January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February</c:v>
                  </c:pt>
                  <c:pt idx="48">
                    <c:v>February</c:v>
                  </c:pt>
                  <c:pt idx="49">
                    <c:v>February</c:v>
                  </c:pt>
                  <c:pt idx="50">
                    <c:v>March</c:v>
                  </c:pt>
                  <c:pt idx="51">
                    <c:v>March</c:v>
                  </c:pt>
                  <c:pt idx="52">
                    <c:v>March</c:v>
                  </c:pt>
                  <c:pt idx="53">
                    <c:v>March</c:v>
                  </c:pt>
                  <c:pt idx="54">
                    <c:v>March</c:v>
                  </c:pt>
                  <c:pt idx="55">
                    <c:v>April</c:v>
                  </c:pt>
                  <c:pt idx="56">
                    <c:v>April</c:v>
                  </c:pt>
                  <c:pt idx="57">
                    <c:v>April</c:v>
                  </c:pt>
                  <c:pt idx="58">
                    <c:v>April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May</c:v>
                  </c:pt>
                  <c:pt idx="62">
                    <c:v>May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June</c:v>
                  </c:pt>
                  <c:pt idx="66">
                    <c:v>June</c:v>
                  </c:pt>
                  <c:pt idx="67">
                    <c:v>June</c:v>
                  </c:pt>
                  <c:pt idx="68">
                    <c:v>July</c:v>
                  </c:pt>
                  <c:pt idx="69">
                    <c:v>July</c:v>
                  </c:pt>
                  <c:pt idx="70">
                    <c:v>July</c:v>
                  </c:pt>
                  <c:pt idx="71">
                    <c:v>July</c:v>
                  </c:pt>
                  <c:pt idx="72">
                    <c:v>July</c:v>
                  </c:pt>
                  <c:pt idx="73">
                    <c:v>August</c:v>
                  </c:pt>
                  <c:pt idx="74">
                    <c:v>August</c:v>
                  </c:pt>
                  <c:pt idx="75">
                    <c:v>August</c:v>
                  </c:pt>
                  <c:pt idx="76">
                    <c:v>August</c:v>
                  </c:pt>
                  <c:pt idx="77">
                    <c:v>August</c:v>
                  </c:pt>
                  <c:pt idx="78">
                    <c:v>October</c:v>
                  </c:pt>
                  <c:pt idx="79">
                    <c:v>October</c:v>
                  </c:pt>
                  <c:pt idx="80">
                    <c:v>October</c:v>
                  </c:pt>
                  <c:pt idx="81">
                    <c:v>October</c:v>
                  </c:pt>
                  <c:pt idx="82">
                    <c:v>October</c:v>
                  </c:pt>
                  <c:pt idx="83">
                    <c:v>October</c:v>
                  </c:pt>
                  <c:pt idx="84">
                    <c:v>October</c:v>
                  </c:pt>
                  <c:pt idx="85">
                    <c:v>October</c:v>
                  </c:pt>
                  <c:pt idx="86">
                    <c:v>October</c:v>
                  </c:pt>
                  <c:pt idx="87">
                    <c:v>October</c:v>
                  </c:pt>
                  <c:pt idx="88">
                    <c:v>November</c:v>
                  </c:pt>
                  <c:pt idx="89">
                    <c:v>November</c:v>
                  </c:pt>
                  <c:pt idx="90">
                    <c:v>November</c:v>
                  </c:pt>
                  <c:pt idx="91">
                    <c:v>November</c:v>
                  </c:pt>
                  <c:pt idx="92">
                    <c:v>November</c:v>
                  </c:pt>
                </c:lvl>
              </c:multiLvlStrCache>
            </c:multiLvlStrRef>
          </c:cat>
          <c:val>
            <c:numRef>
              <c:f>'S-Curve Baseline 2'!$B$10:$CP$10</c:f>
              <c:numCache>
                <c:formatCode>0.00%</c:formatCode>
                <c:ptCount val="93"/>
                <c:pt idx="71">
                  <c:v>0.61772954924874801</c:v>
                </c:pt>
                <c:pt idx="72">
                  <c:v>0.65888615888615876</c:v>
                </c:pt>
                <c:pt idx="73">
                  <c:v>0.70925470925470913</c:v>
                </c:pt>
                <c:pt idx="74">
                  <c:v>0.75880425880425872</c:v>
                </c:pt>
                <c:pt idx="75">
                  <c:v>0.79975429975429968</c:v>
                </c:pt>
                <c:pt idx="76">
                  <c:v>0.83251433251433238</c:v>
                </c:pt>
                <c:pt idx="77">
                  <c:v>0.86191646191646198</c:v>
                </c:pt>
                <c:pt idx="78">
                  <c:v>0.8844389844389845</c:v>
                </c:pt>
                <c:pt idx="79">
                  <c:v>0.8990171990171989</c:v>
                </c:pt>
                <c:pt idx="80">
                  <c:v>0.90720720720720704</c:v>
                </c:pt>
                <c:pt idx="81">
                  <c:v>0.91777231777231771</c:v>
                </c:pt>
                <c:pt idx="82">
                  <c:v>0.92432432432432421</c:v>
                </c:pt>
                <c:pt idx="83">
                  <c:v>0.92760032760032751</c:v>
                </c:pt>
                <c:pt idx="84">
                  <c:v>0.93579033579033577</c:v>
                </c:pt>
                <c:pt idx="85">
                  <c:v>0.9424242424242425</c:v>
                </c:pt>
                <c:pt idx="86">
                  <c:v>0.9542178542178541</c:v>
                </c:pt>
                <c:pt idx="87">
                  <c:v>0.96650286650286643</c:v>
                </c:pt>
                <c:pt idx="88">
                  <c:v>0.97493857493857505</c:v>
                </c:pt>
                <c:pt idx="89">
                  <c:v>0.9831285831285832</c:v>
                </c:pt>
                <c:pt idx="90">
                  <c:v>0.99131859131859135</c:v>
                </c:pt>
                <c:pt idx="91">
                  <c:v>0.9995085995085996</c:v>
                </c:pt>
                <c:pt idx="9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EB-40A5-96C1-3011A29A853D}"/>
            </c:ext>
          </c:extLst>
        </c:ser>
        <c:ser>
          <c:idx val="4"/>
          <c:order val="2"/>
          <c:tx>
            <c:strRef>
              <c:f>'S-Curve Baseline 2'!$A$11</c:f>
              <c:strCache>
                <c:ptCount val="1"/>
                <c:pt idx="0">
                  <c:v>Actual Accu.</c:v>
                </c:pt>
              </c:strCache>
            </c:strRef>
          </c:tx>
          <c:spPr>
            <a:ln w="22225" cap="rnd">
              <a:solidFill>
                <a:srgbClr val="254E79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rgbClr val="44C274"/>
                </a:solidFill>
                <a:round/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'S-Curve Baseline 2'!$B$3:$CP$4</c:f>
              <c:multiLvlStrCache>
                <c:ptCount val="93"/>
                <c:lvl>
                  <c:pt idx="0">
                    <c:v>Week 2</c:v>
                  </c:pt>
                  <c:pt idx="1">
                    <c:v>Week 3</c:v>
                  </c:pt>
                  <c:pt idx="2">
                    <c:v>Week 4</c:v>
                  </c:pt>
                  <c:pt idx="3">
                    <c:v>Week 5</c:v>
                  </c:pt>
                  <c:pt idx="4">
                    <c:v>Week 6</c:v>
                  </c:pt>
                  <c:pt idx="5">
                    <c:v>Week 7</c:v>
                  </c:pt>
                  <c:pt idx="6">
                    <c:v>Week 8</c:v>
                  </c:pt>
                  <c:pt idx="7">
                    <c:v>Week 9</c:v>
                  </c:pt>
                  <c:pt idx="8">
                    <c:v>Week 10</c:v>
                  </c:pt>
                  <c:pt idx="9">
                    <c:v>Week 11</c:v>
                  </c:pt>
                  <c:pt idx="10">
                    <c:v>Week 12</c:v>
                  </c:pt>
                  <c:pt idx="11">
                    <c:v>Week 13</c:v>
                  </c:pt>
                  <c:pt idx="12">
                    <c:v>Week 14</c:v>
                  </c:pt>
                  <c:pt idx="13">
                    <c:v>Week 14</c:v>
                  </c:pt>
                  <c:pt idx="14">
                    <c:v>Week 15</c:v>
                  </c:pt>
                  <c:pt idx="15">
                    <c:v>Week 16</c:v>
                  </c:pt>
                  <c:pt idx="16">
                    <c:v>Week 17</c:v>
                  </c:pt>
                  <c:pt idx="17">
                    <c:v>Week 18</c:v>
                  </c:pt>
                  <c:pt idx="18">
                    <c:v>Week 19</c:v>
                  </c:pt>
                  <c:pt idx="19">
                    <c:v>Week 20</c:v>
                  </c:pt>
                  <c:pt idx="20">
                    <c:v>Week 21</c:v>
                  </c:pt>
                  <c:pt idx="21">
                    <c:v>Week 22</c:v>
                  </c:pt>
                  <c:pt idx="22">
                    <c:v>Week 23</c:v>
                  </c:pt>
                  <c:pt idx="23">
                    <c:v>Week 24</c:v>
                  </c:pt>
                  <c:pt idx="24">
                    <c:v>Week 25</c:v>
                  </c:pt>
                  <c:pt idx="25">
                    <c:v>Week 26</c:v>
                  </c:pt>
                  <c:pt idx="26">
                    <c:v>Week 27</c:v>
                  </c:pt>
                  <c:pt idx="27">
                    <c:v>Week 27</c:v>
                  </c:pt>
                  <c:pt idx="28">
                    <c:v>Week 28</c:v>
                  </c:pt>
                  <c:pt idx="29">
                    <c:v>Week 29</c:v>
                  </c:pt>
                  <c:pt idx="30">
                    <c:v>Week 30</c:v>
                  </c:pt>
                  <c:pt idx="31">
                    <c:v>Week 31</c:v>
                  </c:pt>
                  <c:pt idx="32">
                    <c:v>Week 32</c:v>
                  </c:pt>
                  <c:pt idx="33">
                    <c:v>Week 33</c:v>
                  </c:pt>
                  <c:pt idx="34">
                    <c:v>Week 34</c:v>
                  </c:pt>
                  <c:pt idx="35">
                    <c:v>Week 35</c:v>
                  </c:pt>
                  <c:pt idx="36">
                    <c:v>Week 36</c:v>
                  </c:pt>
                  <c:pt idx="37">
                    <c:v>Week 37</c:v>
                  </c:pt>
                  <c:pt idx="38">
                    <c:v>Week 38</c:v>
                  </c:pt>
                  <c:pt idx="39">
                    <c:v>Week 39</c:v>
                  </c:pt>
                  <c:pt idx="40">
                    <c:v>Week 40</c:v>
                  </c:pt>
                  <c:pt idx="41">
                    <c:v>Week 40</c:v>
                  </c:pt>
                  <c:pt idx="42">
                    <c:v>Week 41</c:v>
                  </c:pt>
                  <c:pt idx="43">
                    <c:v>Week 42</c:v>
                  </c:pt>
                  <c:pt idx="44">
                    <c:v>Week 43</c:v>
                  </c:pt>
                  <c:pt idx="45">
                    <c:v>Week 44</c:v>
                  </c:pt>
                  <c:pt idx="46">
                    <c:v>Week 45</c:v>
                  </c:pt>
                  <c:pt idx="47">
                    <c:v>Week 46</c:v>
                  </c:pt>
                  <c:pt idx="48">
                    <c:v>Week 47</c:v>
                  </c:pt>
                  <c:pt idx="49">
                    <c:v>Week 48</c:v>
                  </c:pt>
                  <c:pt idx="50">
                    <c:v>Week 49</c:v>
                  </c:pt>
                  <c:pt idx="51">
                    <c:v>Week 50</c:v>
                  </c:pt>
                  <c:pt idx="52">
                    <c:v>Week 51</c:v>
                  </c:pt>
                  <c:pt idx="53">
                    <c:v>Week 52</c:v>
                  </c:pt>
                  <c:pt idx="54">
                    <c:v>Week 1</c:v>
                  </c:pt>
                  <c:pt idx="55">
                    <c:v>Week 1</c:v>
                  </c:pt>
                  <c:pt idx="56">
                    <c:v>Week 2</c:v>
                  </c:pt>
                  <c:pt idx="57">
                    <c:v>Week 3</c:v>
                  </c:pt>
                  <c:pt idx="58">
                    <c:v>Week 4</c:v>
                  </c:pt>
                  <c:pt idx="59">
                    <c:v>Week 5</c:v>
                  </c:pt>
                  <c:pt idx="60">
                    <c:v>Week 6</c:v>
                  </c:pt>
                  <c:pt idx="61">
                    <c:v>Week 7</c:v>
                  </c:pt>
                  <c:pt idx="62">
                    <c:v>Week 8</c:v>
                  </c:pt>
                  <c:pt idx="63">
                    <c:v>Week 9</c:v>
                  </c:pt>
                  <c:pt idx="64">
                    <c:v>Week 10</c:v>
                  </c:pt>
                  <c:pt idx="65">
                    <c:v>Week 11</c:v>
                  </c:pt>
                  <c:pt idx="66">
                    <c:v>Week 12</c:v>
                  </c:pt>
                  <c:pt idx="67">
                    <c:v>Week 13</c:v>
                  </c:pt>
                  <c:pt idx="68">
                    <c:v>Week 14</c:v>
                  </c:pt>
                  <c:pt idx="69">
                    <c:v>Week 14</c:v>
                  </c:pt>
                  <c:pt idx="70">
                    <c:v>Week 15</c:v>
                  </c:pt>
                  <c:pt idx="71">
                    <c:v>Week 16</c:v>
                  </c:pt>
                  <c:pt idx="72">
                    <c:v>Week 17</c:v>
                  </c:pt>
                  <c:pt idx="73">
                    <c:v>Week 18</c:v>
                  </c:pt>
                  <c:pt idx="74">
                    <c:v>Week 19</c:v>
                  </c:pt>
                  <c:pt idx="75">
                    <c:v>Week 20</c:v>
                  </c:pt>
                  <c:pt idx="76">
                    <c:v>Week 21</c:v>
                  </c:pt>
                  <c:pt idx="77">
                    <c:v>Week 22</c:v>
                  </c:pt>
                  <c:pt idx="78">
                    <c:v>Week 23</c:v>
                  </c:pt>
                  <c:pt idx="79">
                    <c:v>Week 24</c:v>
                  </c:pt>
                  <c:pt idx="80">
                    <c:v>Week 25</c:v>
                  </c:pt>
                  <c:pt idx="81">
                    <c:v>Week 26</c:v>
                  </c:pt>
                  <c:pt idx="82">
                    <c:v>Week 27</c:v>
                  </c:pt>
                  <c:pt idx="83">
                    <c:v>Week 27</c:v>
                  </c:pt>
                  <c:pt idx="84">
                    <c:v>Week 28</c:v>
                  </c:pt>
                  <c:pt idx="85">
                    <c:v>Week 29</c:v>
                  </c:pt>
                  <c:pt idx="86">
                    <c:v>Week 30</c:v>
                  </c:pt>
                  <c:pt idx="87">
                    <c:v>Week 31</c:v>
                  </c:pt>
                  <c:pt idx="88">
                    <c:v>Week 32</c:v>
                  </c:pt>
                  <c:pt idx="89">
                    <c:v>Week 33</c:v>
                  </c:pt>
                  <c:pt idx="90">
                    <c:v>Week 34</c:v>
                  </c:pt>
                  <c:pt idx="91">
                    <c:v>Week 35</c:v>
                  </c:pt>
                  <c:pt idx="92">
                    <c:v>Week 36</c:v>
                  </c:pt>
                </c:lvl>
                <c:lvl>
                  <c:pt idx="0">
                    <c:v>April</c:v>
                  </c:pt>
                  <c:pt idx="1">
                    <c:v>April</c:v>
                  </c:pt>
                  <c:pt idx="2">
                    <c:v>April</c:v>
                  </c:pt>
                  <c:pt idx="3">
                    <c:v>May</c:v>
                  </c:pt>
                  <c:pt idx="4">
                    <c:v>May</c:v>
                  </c:pt>
                  <c:pt idx="5">
                    <c:v>May</c:v>
                  </c:pt>
                  <c:pt idx="6">
                    <c:v>May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June</c:v>
                  </c:pt>
                  <c:pt idx="10">
                    <c:v>June</c:v>
                  </c:pt>
                  <c:pt idx="11">
                    <c:v>June</c:v>
                  </c:pt>
                  <c:pt idx="12">
                    <c:v>July</c:v>
                  </c:pt>
                  <c:pt idx="13">
                    <c:v>July</c:v>
                  </c:pt>
                  <c:pt idx="14">
                    <c:v>July</c:v>
                  </c:pt>
                  <c:pt idx="15">
                    <c:v>July</c:v>
                  </c:pt>
                  <c:pt idx="16">
                    <c:v>July</c:v>
                  </c:pt>
                  <c:pt idx="17">
                    <c:v>August</c:v>
                  </c:pt>
                  <c:pt idx="18">
                    <c:v>August</c:v>
                  </c:pt>
                  <c:pt idx="19">
                    <c:v>August</c:v>
                  </c:pt>
                  <c:pt idx="20">
                    <c:v>August</c:v>
                  </c:pt>
                  <c:pt idx="21">
                    <c:v>August</c:v>
                  </c:pt>
                  <c:pt idx="22">
                    <c:v>September</c:v>
                  </c:pt>
                  <c:pt idx="23">
                    <c:v>September</c:v>
                  </c:pt>
                  <c:pt idx="24">
                    <c:v>September</c:v>
                  </c:pt>
                  <c:pt idx="25">
                    <c:v>September</c:v>
                  </c:pt>
                  <c:pt idx="26">
                    <c:v>October</c:v>
                  </c:pt>
                  <c:pt idx="27">
                    <c:v>October</c:v>
                  </c:pt>
                  <c:pt idx="28">
                    <c:v>October</c:v>
                  </c:pt>
                  <c:pt idx="29">
                    <c:v>October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November</c:v>
                  </c:pt>
                  <c:pt idx="33">
                    <c:v>November</c:v>
                  </c:pt>
                  <c:pt idx="34">
                    <c:v>November</c:v>
                  </c:pt>
                  <c:pt idx="35">
                    <c:v>November</c:v>
                  </c:pt>
                  <c:pt idx="36">
                    <c:v>December</c:v>
                  </c:pt>
                  <c:pt idx="37">
                    <c:v>December</c:v>
                  </c:pt>
                  <c:pt idx="38">
                    <c:v>December</c:v>
                  </c:pt>
                  <c:pt idx="39">
                    <c:v>December</c:v>
                  </c:pt>
                  <c:pt idx="40">
                    <c:v>January</c:v>
                  </c:pt>
                  <c:pt idx="41">
                    <c:v>January</c:v>
                  </c:pt>
                  <c:pt idx="42">
                    <c:v>January</c:v>
                  </c:pt>
                  <c:pt idx="43">
                    <c:v>January</c:v>
                  </c:pt>
                  <c:pt idx="44">
                    <c:v>January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February</c:v>
                  </c:pt>
                  <c:pt idx="48">
                    <c:v>February</c:v>
                  </c:pt>
                  <c:pt idx="49">
                    <c:v>February</c:v>
                  </c:pt>
                  <c:pt idx="50">
                    <c:v>March</c:v>
                  </c:pt>
                  <c:pt idx="51">
                    <c:v>March</c:v>
                  </c:pt>
                  <c:pt idx="52">
                    <c:v>March</c:v>
                  </c:pt>
                  <c:pt idx="53">
                    <c:v>March</c:v>
                  </c:pt>
                  <c:pt idx="54">
                    <c:v>March</c:v>
                  </c:pt>
                  <c:pt idx="55">
                    <c:v>April</c:v>
                  </c:pt>
                  <c:pt idx="56">
                    <c:v>April</c:v>
                  </c:pt>
                  <c:pt idx="57">
                    <c:v>April</c:v>
                  </c:pt>
                  <c:pt idx="58">
                    <c:v>April</c:v>
                  </c:pt>
                  <c:pt idx="59">
                    <c:v>May</c:v>
                  </c:pt>
                  <c:pt idx="60">
                    <c:v>May</c:v>
                  </c:pt>
                  <c:pt idx="61">
                    <c:v>May</c:v>
                  </c:pt>
                  <c:pt idx="62">
                    <c:v>May</c:v>
                  </c:pt>
                  <c:pt idx="63">
                    <c:v>May</c:v>
                  </c:pt>
                  <c:pt idx="64">
                    <c:v>June</c:v>
                  </c:pt>
                  <c:pt idx="65">
                    <c:v>June</c:v>
                  </c:pt>
                  <c:pt idx="66">
                    <c:v>June</c:v>
                  </c:pt>
                  <c:pt idx="67">
                    <c:v>June</c:v>
                  </c:pt>
                  <c:pt idx="68">
                    <c:v>July</c:v>
                  </c:pt>
                  <c:pt idx="69">
                    <c:v>July</c:v>
                  </c:pt>
                  <c:pt idx="70">
                    <c:v>July</c:v>
                  </c:pt>
                  <c:pt idx="71">
                    <c:v>July</c:v>
                  </c:pt>
                  <c:pt idx="72">
                    <c:v>July</c:v>
                  </c:pt>
                  <c:pt idx="73">
                    <c:v>August</c:v>
                  </c:pt>
                  <c:pt idx="74">
                    <c:v>August</c:v>
                  </c:pt>
                  <c:pt idx="75">
                    <c:v>August</c:v>
                  </c:pt>
                  <c:pt idx="76">
                    <c:v>August</c:v>
                  </c:pt>
                  <c:pt idx="77">
                    <c:v>August</c:v>
                  </c:pt>
                  <c:pt idx="78">
                    <c:v>October</c:v>
                  </c:pt>
                  <c:pt idx="79">
                    <c:v>October</c:v>
                  </c:pt>
                  <c:pt idx="80">
                    <c:v>October</c:v>
                  </c:pt>
                  <c:pt idx="81">
                    <c:v>October</c:v>
                  </c:pt>
                  <c:pt idx="82">
                    <c:v>October</c:v>
                  </c:pt>
                  <c:pt idx="83">
                    <c:v>October</c:v>
                  </c:pt>
                  <c:pt idx="84">
                    <c:v>October</c:v>
                  </c:pt>
                  <c:pt idx="85">
                    <c:v>October</c:v>
                  </c:pt>
                  <c:pt idx="86">
                    <c:v>October</c:v>
                  </c:pt>
                  <c:pt idx="87">
                    <c:v>October</c:v>
                  </c:pt>
                  <c:pt idx="88">
                    <c:v>November</c:v>
                  </c:pt>
                  <c:pt idx="89">
                    <c:v>November</c:v>
                  </c:pt>
                  <c:pt idx="90">
                    <c:v>November</c:v>
                  </c:pt>
                  <c:pt idx="91">
                    <c:v>November</c:v>
                  </c:pt>
                  <c:pt idx="92">
                    <c:v>November</c:v>
                  </c:pt>
                </c:lvl>
              </c:multiLvlStrCache>
            </c:multiLvlStrRef>
          </c:cat>
          <c:val>
            <c:numRef>
              <c:f>'S-Curve Baseline 2'!$B$11:$CP$11</c:f>
              <c:numCache>
                <c:formatCode>0.00%</c:formatCode>
                <c:ptCount val="93"/>
                <c:pt idx="0" formatCode="0%">
                  <c:v>2.9215358931552588E-3</c:v>
                </c:pt>
                <c:pt idx="1">
                  <c:v>7.0951585976627716E-3</c:v>
                </c:pt>
                <c:pt idx="2">
                  <c:v>1.1268781302170284E-2</c:v>
                </c:pt>
                <c:pt idx="3">
                  <c:v>1.5442404006677797E-2</c:v>
                </c:pt>
                <c:pt idx="4">
                  <c:v>1.961602671118531E-2</c:v>
                </c:pt>
                <c:pt idx="5">
                  <c:v>2.378964941569282E-2</c:v>
                </c:pt>
                <c:pt idx="6">
                  <c:v>2.7963272120200333E-2</c:v>
                </c:pt>
                <c:pt idx="7">
                  <c:v>3.213689482470785E-2</c:v>
                </c:pt>
                <c:pt idx="8">
                  <c:v>3.631051752921536E-2</c:v>
                </c:pt>
                <c:pt idx="9">
                  <c:v>4.0484140233722869E-2</c:v>
                </c:pt>
                <c:pt idx="10">
                  <c:v>4.4657762938230386E-2</c:v>
                </c:pt>
                <c:pt idx="11">
                  <c:v>4.8831385642737896E-2</c:v>
                </c:pt>
                <c:pt idx="12">
                  <c:v>5.5143989983305511E-2</c:v>
                </c:pt>
                <c:pt idx="13">
                  <c:v>5.5143989983305511E-2</c:v>
                </c:pt>
                <c:pt idx="14">
                  <c:v>6.6621452420701166E-2</c:v>
                </c:pt>
                <c:pt idx="15">
                  <c:v>7.31949081803005E-2</c:v>
                </c:pt>
                <c:pt idx="16">
                  <c:v>7.9768363939899833E-2</c:v>
                </c:pt>
                <c:pt idx="17">
                  <c:v>8.764607679465776E-2</c:v>
                </c:pt>
                <c:pt idx="18">
                  <c:v>8.9273789649415694E-2</c:v>
                </c:pt>
                <c:pt idx="19">
                  <c:v>9.3906510851419031E-2</c:v>
                </c:pt>
                <c:pt idx="20">
                  <c:v>9.891485809682804E-2</c:v>
                </c:pt>
                <c:pt idx="21">
                  <c:v>0.10459098497495826</c:v>
                </c:pt>
                <c:pt idx="22">
                  <c:v>0.10559265442404006</c:v>
                </c:pt>
                <c:pt idx="23">
                  <c:v>0.10799248747913189</c:v>
                </c:pt>
                <c:pt idx="24">
                  <c:v>0.11068447412353923</c:v>
                </c:pt>
                <c:pt idx="25">
                  <c:v>0.11216611018363939</c:v>
                </c:pt>
                <c:pt idx="26">
                  <c:v>0.11425292153589316</c:v>
                </c:pt>
                <c:pt idx="27">
                  <c:v>0.11425292153589316</c:v>
                </c:pt>
                <c:pt idx="28">
                  <c:v>0.11529632721202003</c:v>
                </c:pt>
                <c:pt idx="29">
                  <c:v>0.11790484140233723</c:v>
                </c:pt>
                <c:pt idx="30">
                  <c:v>0.11915692821368948</c:v>
                </c:pt>
                <c:pt idx="31">
                  <c:v>0.11999165275459099</c:v>
                </c:pt>
                <c:pt idx="32">
                  <c:v>0.12468697829716194</c:v>
                </c:pt>
                <c:pt idx="33">
                  <c:v>0.14440734557595994</c:v>
                </c:pt>
                <c:pt idx="34">
                  <c:v>0.15375626043405674</c:v>
                </c:pt>
                <c:pt idx="35">
                  <c:v>0.16569282099999999</c:v>
                </c:pt>
                <c:pt idx="36">
                  <c:v>0.18017529215358929</c:v>
                </c:pt>
                <c:pt idx="37">
                  <c:v>0.18985809682804675</c:v>
                </c:pt>
                <c:pt idx="38">
                  <c:v>0.19282136894824708</c:v>
                </c:pt>
                <c:pt idx="39">
                  <c:v>0.1957846410684474</c:v>
                </c:pt>
                <c:pt idx="40">
                  <c:v>0.20755425709515862</c:v>
                </c:pt>
                <c:pt idx="41">
                  <c:v>0.20755425709515862</c:v>
                </c:pt>
                <c:pt idx="42">
                  <c:v>0.23672787979966614</c:v>
                </c:pt>
                <c:pt idx="43">
                  <c:v>0.24545075125208676</c:v>
                </c:pt>
                <c:pt idx="44">
                  <c:v>0.28611853088480799</c:v>
                </c:pt>
                <c:pt idx="45">
                  <c:v>0.30265442404006682</c:v>
                </c:pt>
                <c:pt idx="46">
                  <c:v>0.31662771285475799</c:v>
                </c:pt>
                <c:pt idx="47">
                  <c:v>0.33494156928213692</c:v>
                </c:pt>
                <c:pt idx="48">
                  <c:v>0.33594156928213698</c:v>
                </c:pt>
                <c:pt idx="49">
                  <c:v>0.3486727879799667</c:v>
                </c:pt>
                <c:pt idx="50">
                  <c:v>0.37162771285475799</c:v>
                </c:pt>
                <c:pt idx="51">
                  <c:v>0.38</c:v>
                </c:pt>
                <c:pt idx="52">
                  <c:v>0.39</c:v>
                </c:pt>
                <c:pt idx="53">
                  <c:v>0.4</c:v>
                </c:pt>
                <c:pt idx="54">
                  <c:v>0.40598689598689602</c:v>
                </c:pt>
                <c:pt idx="55">
                  <c:v>0.40598689598689602</c:v>
                </c:pt>
                <c:pt idx="56">
                  <c:v>0.44591819699499158</c:v>
                </c:pt>
                <c:pt idx="57">
                  <c:v>0.48829716193656098</c:v>
                </c:pt>
                <c:pt idx="58">
                  <c:v>0.52092654424040064</c:v>
                </c:pt>
                <c:pt idx="59">
                  <c:v>0.52880634400000004</c:v>
                </c:pt>
                <c:pt idx="60">
                  <c:v>0.54252921535893162</c:v>
                </c:pt>
                <c:pt idx="61">
                  <c:v>0.55257095158597669</c:v>
                </c:pt>
                <c:pt idx="62">
                  <c:v>0.56423205342237071</c:v>
                </c:pt>
                <c:pt idx="63">
                  <c:v>0.57153589299999996</c:v>
                </c:pt>
                <c:pt idx="64">
                  <c:v>0.57938230383973277</c:v>
                </c:pt>
                <c:pt idx="65">
                  <c:v>0.59</c:v>
                </c:pt>
                <c:pt idx="66">
                  <c:v>0.59520033400000005</c:v>
                </c:pt>
                <c:pt idx="67">
                  <c:v>0.59820534199999997</c:v>
                </c:pt>
                <c:pt idx="68">
                  <c:v>0.6096327212020034</c:v>
                </c:pt>
                <c:pt idx="69">
                  <c:v>0.6096327212020034</c:v>
                </c:pt>
                <c:pt idx="70">
                  <c:v>0.61272120200333902</c:v>
                </c:pt>
                <c:pt idx="71">
                  <c:v>0.61772954924874801</c:v>
                </c:pt>
                <c:pt idx="72">
                  <c:v>0.62040901502504164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EB-40A5-96C1-3011A29A853D}"/>
            </c:ext>
          </c:extLst>
        </c:ser>
        <c:ser>
          <c:idx val="1"/>
          <c:order val="5"/>
          <c:tx>
            <c:strRef>
              <c:f>'S-Curve Baseline 2'!$A$12</c:f>
              <c:strCache>
                <c:ptCount val="1"/>
                <c:pt idx="0">
                  <c:v>Variance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rgbClr val="FF0000"/>
                </a:solidFill>
                <a:round/>
              </a:ln>
              <a:effectLst/>
            </c:spPr>
          </c:marker>
          <c:dLbls>
            <c:delete val="1"/>
          </c:dLbls>
          <c:val>
            <c:numRef>
              <c:f>'S-Curve Baseline 2'!$B$12:$CP$12</c:f>
              <c:numCache>
                <c:formatCode>0.00%</c:formatCode>
                <c:ptCount val="93"/>
                <c:pt idx="0">
                  <c:v>-5.5033026652392437E-5</c:v>
                </c:pt>
                <c:pt idx="1">
                  <c:v>-1.3365163615580971E-4</c:v>
                </c:pt>
                <c:pt idx="2">
                  <c:v>-2.1227024565922785E-4</c:v>
                </c:pt>
                <c:pt idx="3">
                  <c:v>-2.9088885516264512E-4</c:v>
                </c:pt>
                <c:pt idx="4">
                  <c:v>-3.6950746466606413E-4</c:v>
                </c:pt>
                <c:pt idx="5">
                  <c:v>-4.4812607416947967E-4</c:v>
                </c:pt>
                <c:pt idx="6">
                  <c:v>-5.267446836728952E-4</c:v>
                </c:pt>
                <c:pt idx="7">
                  <c:v>-6.0536329317632115E-4</c:v>
                </c:pt>
                <c:pt idx="8">
                  <c:v>-6.8398190267972975E-4</c:v>
                </c:pt>
                <c:pt idx="9">
                  <c:v>-7.6260051218314528E-4</c:v>
                </c:pt>
                <c:pt idx="10">
                  <c:v>-8.4121912168656776E-4</c:v>
                </c:pt>
                <c:pt idx="11">
                  <c:v>-9.198377311899833E-4</c:v>
                </c:pt>
                <c:pt idx="12">
                  <c:v>-6.4134412527567797E-3</c:v>
                </c:pt>
                <c:pt idx="13">
                  <c:v>-1.0387483780639056E-3</c:v>
                </c:pt>
                <c:pt idx="14">
                  <c:v>-6.0665793658281134E-3</c:v>
                </c:pt>
                <c:pt idx="15">
                  <c:v>-7.8284053137976373E-3</c:v>
                </c:pt>
                <c:pt idx="16">
                  <c:v>-7.9522296237655166E-3</c:v>
                </c:pt>
                <c:pt idx="17">
                  <c:v>-9.3803110288919883E-3</c:v>
                </c:pt>
                <c:pt idx="18">
                  <c:v>-4.5583924340184823E-3</c:v>
                </c:pt>
                <c:pt idx="19">
                  <c:v>-2.9462323911405713E-3</c:v>
                </c:pt>
                <c:pt idx="20">
                  <c:v>1.7536820854850907E-2</c:v>
                </c:pt>
                <c:pt idx="21">
                  <c:v>3.2079776695803405E-2</c:v>
                </c:pt>
                <c:pt idx="22">
                  <c:v>5.0427001595615972E-2</c:v>
                </c:pt>
                <c:pt idx="23">
                  <c:v>6.7222500235855839E-2</c:v>
                </c:pt>
                <c:pt idx="24">
                  <c:v>8.3879407940342834E-2</c:v>
                </c:pt>
                <c:pt idx="25">
                  <c:v>0.10174666622913703</c:v>
                </c:pt>
                <c:pt idx="26">
                  <c:v>0.10610948632651469</c:v>
                </c:pt>
                <c:pt idx="27">
                  <c:v>0.1190087492257776</c:v>
                </c:pt>
                <c:pt idx="28">
                  <c:v>0.13731423789854508</c:v>
                </c:pt>
                <c:pt idx="29">
                  <c:v>0.15236542886793306</c:v>
                </c:pt>
                <c:pt idx="30">
                  <c:v>0.17015511109834983</c:v>
                </c:pt>
                <c:pt idx="31">
                  <c:v>0.18866928090634266</c:v>
                </c:pt>
                <c:pt idx="32">
                  <c:v>0.20332284971266609</c:v>
                </c:pt>
                <c:pt idx="33">
                  <c:v>0.2029513767827624</c:v>
                </c:pt>
                <c:pt idx="34">
                  <c:v>0.21295135627355996</c:v>
                </c:pt>
                <c:pt idx="35">
                  <c:v>0.22036369005651107</c:v>
                </c:pt>
                <c:pt idx="36">
                  <c:v>0.22523011325181613</c:v>
                </c:pt>
                <c:pt idx="37">
                  <c:v>0.23489620292625299</c:v>
                </c:pt>
                <c:pt idx="38">
                  <c:v>0.2944841183572402</c:v>
                </c:pt>
                <c:pt idx="39">
                  <c:v>0.35647784869404242</c:v>
                </c:pt>
                <c:pt idx="40">
                  <c:v>0.38770577566487419</c:v>
                </c:pt>
                <c:pt idx="41">
                  <c:v>0.42568693864603713</c:v>
                </c:pt>
                <c:pt idx="42">
                  <c:v>0.46106081798903165</c:v>
                </c:pt>
                <c:pt idx="43">
                  <c:v>0.51616882286748744</c:v>
                </c:pt>
                <c:pt idx="44">
                  <c:v>0.53590235363607652</c:v>
                </c:pt>
                <c:pt idx="45">
                  <c:v>0.57050282411718134</c:v>
                </c:pt>
                <c:pt idx="46">
                  <c:v>0.59497138624434109</c:v>
                </c:pt>
                <c:pt idx="47">
                  <c:v>0.60450355766299002</c:v>
                </c:pt>
                <c:pt idx="48">
                  <c:v>0.62515589181532416</c:v>
                </c:pt>
                <c:pt idx="49">
                  <c:v>0.62962369031651155</c:v>
                </c:pt>
                <c:pt idx="50">
                  <c:v>0.62837228714524196</c:v>
                </c:pt>
                <c:pt idx="71">
                  <c:v>0</c:v>
                </c:pt>
                <c:pt idx="72">
                  <c:v>3.8477143861117113E-2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EB-40A5-96C1-3011A29A85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9151599"/>
        <c:axId val="589149519"/>
      </c:lineChart>
      <c:catAx>
        <c:axId val="58915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49519"/>
        <c:crosses val="autoZero"/>
        <c:auto val="1"/>
        <c:lblAlgn val="ctr"/>
        <c:lblOffset val="100"/>
        <c:noMultiLvlLbl val="0"/>
      </c:catAx>
      <c:valAx>
        <c:axId val="58914951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51599"/>
        <c:crosses val="autoZero"/>
        <c:crossBetween val="between"/>
      </c:valAx>
      <c:valAx>
        <c:axId val="1730107344"/>
        <c:scaling>
          <c:orientation val="minMax"/>
          <c:max val="0.2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100688"/>
        <c:crosses val="max"/>
        <c:crossBetween val="between"/>
      </c:valAx>
      <c:catAx>
        <c:axId val="17301006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301073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3"/>
          <c:tx>
            <c:strRef>
              <c:f>'S-Curve Baseline 2 HIDE'!$A$5</c:f>
              <c:strCache>
                <c:ptCount val="1"/>
                <c:pt idx="0">
                  <c:v>Planned Weekly</c:v>
                </c:pt>
              </c:strCache>
            </c:strRef>
          </c:tx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'S-Curve Baseline 2 HIDE'!$B$5:$CJ$5</c:f>
              <c:numCache>
                <c:formatCode>0%</c:formatCode>
                <c:ptCount val="87"/>
                <c:pt idx="0">
                  <c:v>2.9215358931552588E-3</c:v>
                </c:pt>
                <c:pt idx="1">
                  <c:v>4.1736227045075132E-3</c:v>
                </c:pt>
                <c:pt idx="2">
                  <c:v>4.1736227045075123E-3</c:v>
                </c:pt>
                <c:pt idx="3">
                  <c:v>4.1736227045075132E-3</c:v>
                </c:pt>
                <c:pt idx="4">
                  <c:v>4.1736227045075132E-3</c:v>
                </c:pt>
                <c:pt idx="5">
                  <c:v>4.1736227045075097E-3</c:v>
                </c:pt>
                <c:pt idx="6">
                  <c:v>4.1736227045075132E-3</c:v>
                </c:pt>
                <c:pt idx="7">
                  <c:v>4.1736227045075167E-3</c:v>
                </c:pt>
                <c:pt idx="8">
                  <c:v>4.1736227045075097E-3</c:v>
                </c:pt>
                <c:pt idx="9">
                  <c:v>4.1736227045075097E-3</c:v>
                </c:pt>
                <c:pt idx="10">
                  <c:v>4.1736227045075167E-3</c:v>
                </c:pt>
                <c:pt idx="11">
                  <c:v>4.1736227045075097E-3</c:v>
                </c:pt>
                <c:pt idx="12">
                  <c:v>6.3126043405676152E-3</c:v>
                </c:pt>
                <c:pt idx="13">
                  <c:v>6.5734557595993337E-3</c:v>
                </c:pt>
                <c:pt idx="14">
                  <c:v>4.9040066777963215E-3</c:v>
                </c:pt>
                <c:pt idx="15">
                  <c:v>6.5734557595993337E-3</c:v>
                </c:pt>
                <c:pt idx="16">
                  <c:v>6.5734557595993337E-3</c:v>
                </c:pt>
                <c:pt idx="17">
                  <c:v>6.5734557595993337E-3</c:v>
                </c:pt>
                <c:pt idx="18">
                  <c:v>6.3647746243739589E-3</c:v>
                </c:pt>
                <c:pt idx="19">
                  <c:v>2.5980801335559259E-2</c:v>
                </c:pt>
                <c:pt idx="20">
                  <c:v>2.0607262103505844E-2</c:v>
                </c:pt>
                <c:pt idx="21">
                  <c:v>1.9720367278798001E-2</c:v>
                </c:pt>
                <c:pt idx="22">
                  <c:v>1.9563856427378956E-2</c:v>
                </c:pt>
                <c:pt idx="23">
                  <c:v>1.9720367278798001E-2</c:v>
                </c:pt>
                <c:pt idx="24">
                  <c:v>1.9720367278798001E-2</c:v>
                </c:pt>
                <c:pt idx="25">
                  <c:v>1.9720367278798001E-2</c:v>
                </c:pt>
                <c:pt idx="26">
                  <c:v>1.9720367278797973E-2</c:v>
                </c:pt>
                <c:pt idx="27">
                  <c:v>1.7998747913188673E-2</c:v>
                </c:pt>
                <c:pt idx="28">
                  <c:v>1.9407345575959911E-2</c:v>
                </c:pt>
                <c:pt idx="29">
                  <c:v>1.9720367278798001E-2</c:v>
                </c:pt>
                <c:pt idx="30">
                  <c:v>1.9720367278798001E-2</c:v>
                </c:pt>
                <c:pt idx="31">
                  <c:v>1.9720367278798001E-2</c:v>
                </c:pt>
                <c:pt idx="32">
                  <c:v>1.9720367278798001E-2</c:v>
                </c:pt>
                <c:pt idx="33">
                  <c:v>1.9720367278798001E-2</c:v>
                </c:pt>
                <c:pt idx="34">
                  <c:v>1.9720367278798001E-2</c:v>
                </c:pt>
                <c:pt idx="35">
                  <c:v>1.9720367278798001E-2</c:v>
                </c:pt>
                <c:pt idx="36">
                  <c:v>6.3752086811352249E-2</c:v>
                </c:pt>
                <c:pt idx="37">
                  <c:v>6.6204090150250416E-2</c:v>
                </c:pt>
                <c:pt idx="38">
                  <c:v>4.3823038397328817E-2</c:v>
                </c:pt>
                <c:pt idx="39">
                  <c:v>3.8710350584307274E-2</c:v>
                </c:pt>
                <c:pt idx="40">
                  <c:v>6.5786727879799667E-2</c:v>
                </c:pt>
                <c:pt idx="41">
                  <c:v>6.5056343906510827E-2</c:v>
                </c:pt>
                <c:pt idx="42">
                  <c:v>6.1560934891485841E-2</c:v>
                </c:pt>
                <c:pt idx="43">
                  <c:v>5.2118113522537479E-2</c:v>
                </c:pt>
                <c:pt idx="44">
                  <c:v>3.9179883138564353E-2</c:v>
                </c:pt>
                <c:pt idx="45">
                  <c:v>2.8380634390651083E-2</c:v>
                </c:pt>
                <c:pt idx="46">
                  <c:v>2.2068030050083398E-2</c:v>
                </c:pt>
                <c:pt idx="47">
                  <c:v>1.7529215358931594E-2</c:v>
                </c:pt>
                <c:pt idx="48">
                  <c:v>2.9215358931552471E-3</c:v>
                </c:pt>
                <c:pt idx="68" formatCode="0.00%">
                  <c:v>4.1156609637410746E-2</c:v>
                </c:pt>
                <c:pt idx="69" formatCode="0.00%">
                  <c:v>5.0368550368550369E-2</c:v>
                </c:pt>
                <c:pt idx="70" formatCode="0.00%">
                  <c:v>4.9549549549549599E-2</c:v>
                </c:pt>
                <c:pt idx="71" formatCode="0.00%">
                  <c:v>4.0950040950040956E-2</c:v>
                </c:pt>
                <c:pt idx="72" formatCode="0.00%">
                  <c:v>3.2760032760032698E-2</c:v>
                </c:pt>
                <c:pt idx="73" formatCode="0.00%">
                  <c:v>2.9402129402129606E-2</c:v>
                </c:pt>
                <c:pt idx="74" formatCode="0.00%">
                  <c:v>2.2522522522522515E-2</c:v>
                </c:pt>
                <c:pt idx="75" formatCode="0.00%">
                  <c:v>1.4578214578214399E-2</c:v>
                </c:pt>
                <c:pt idx="76" formatCode="0.00%">
                  <c:v>8.1900081900081467E-3</c:v>
                </c:pt>
                <c:pt idx="77" formatCode="0.00%">
                  <c:v>1.0565110565110669E-2</c:v>
                </c:pt>
                <c:pt idx="78" formatCode="0.00%">
                  <c:v>9.8280098280097983E-3</c:v>
                </c:pt>
                <c:pt idx="79" formatCode="0.00%">
                  <c:v>8.1900081900082577E-3</c:v>
                </c:pt>
                <c:pt idx="80" formatCode="0.00%">
                  <c:v>6.6339066339067276E-3</c:v>
                </c:pt>
                <c:pt idx="81" formatCode="0.00%">
                  <c:v>1.1793611793611603E-2</c:v>
                </c:pt>
                <c:pt idx="82" formatCode="0.00%">
                  <c:v>1.2285012285012331E-2</c:v>
                </c:pt>
                <c:pt idx="83" formatCode="0.00%">
                  <c:v>8.4357084357086221E-3</c:v>
                </c:pt>
                <c:pt idx="84" formatCode="0.00%">
                  <c:v>8.1900081900081467E-3</c:v>
                </c:pt>
                <c:pt idx="85" formatCode="0.00%">
                  <c:v>8.1900081900081467E-3</c:v>
                </c:pt>
                <c:pt idx="86" formatCode="0.00%">
                  <c:v>8.1900081900082577E-3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F6-4FEB-B118-3F5DD4049B50}"/>
            </c:ext>
          </c:extLst>
        </c:ser>
        <c:ser>
          <c:idx val="0"/>
          <c:order val="4"/>
          <c:tx>
            <c:strRef>
              <c:f>'S-Curve Baseline 2 HIDE'!$A$6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'S-Curve Baseline 2 HIDE'!$B$6:$CJ$6</c:f>
              <c:numCache>
                <c:formatCode>0%</c:formatCode>
                <c:ptCount val="87"/>
                <c:pt idx="0">
                  <c:v>2.9215358931552588E-3</c:v>
                </c:pt>
                <c:pt idx="1">
                  <c:v>4.1736227045075132E-3</c:v>
                </c:pt>
                <c:pt idx="2">
                  <c:v>4.1736227045075123E-3</c:v>
                </c:pt>
                <c:pt idx="3">
                  <c:v>4.1736227045075132E-3</c:v>
                </c:pt>
                <c:pt idx="4">
                  <c:v>4.1736227045075132E-3</c:v>
                </c:pt>
                <c:pt idx="5">
                  <c:v>4.1736227045075097E-3</c:v>
                </c:pt>
                <c:pt idx="6">
                  <c:v>4.1736227045075132E-3</c:v>
                </c:pt>
                <c:pt idx="7">
                  <c:v>4.1736227045075167E-3</c:v>
                </c:pt>
                <c:pt idx="8">
                  <c:v>4.1736227045075097E-3</c:v>
                </c:pt>
                <c:pt idx="9">
                  <c:v>4.1736227045075097E-3</c:v>
                </c:pt>
                <c:pt idx="10">
                  <c:v>4.1736227045075167E-3</c:v>
                </c:pt>
                <c:pt idx="11">
                  <c:v>4.1736227045075097E-3</c:v>
                </c:pt>
                <c:pt idx="12">
                  <c:v>6.3126043405676152E-3</c:v>
                </c:pt>
                <c:pt idx="13">
                  <c:v>6.5734557595993337E-3</c:v>
                </c:pt>
                <c:pt idx="14">
                  <c:v>4.9040066777963215E-3</c:v>
                </c:pt>
                <c:pt idx="15">
                  <c:v>6.5734557595993337E-3</c:v>
                </c:pt>
                <c:pt idx="16">
                  <c:v>6.5734557595993337E-3</c:v>
                </c:pt>
                <c:pt idx="17">
                  <c:v>7.8777128547579262E-3</c:v>
                </c:pt>
                <c:pt idx="18">
                  <c:v>1.6277128547579345E-3</c:v>
                </c:pt>
                <c:pt idx="19">
                  <c:v>4.632721202003337E-3</c:v>
                </c:pt>
                <c:pt idx="20">
                  <c:v>5.0083472454090089E-3</c:v>
                </c:pt>
                <c:pt idx="21">
                  <c:v>5.6761268781302249E-3</c:v>
                </c:pt>
                <c:pt idx="22">
                  <c:v>1.0016694490817962E-3</c:v>
                </c:pt>
                <c:pt idx="23">
                  <c:v>2.399833055091824E-3</c:v>
                </c:pt>
                <c:pt idx="24">
                  <c:v>2.6919866444073404E-3</c:v>
                </c:pt>
                <c:pt idx="25">
                  <c:v>1.4816360601001693E-3</c:v>
                </c:pt>
                <c:pt idx="26">
                  <c:v>2.0868113522537618E-3</c:v>
                </c:pt>
                <c:pt idx="27">
                  <c:v>1.043405676126874E-3</c:v>
                </c:pt>
                <c:pt idx="28">
                  <c:v>2.6085141903171988E-3</c:v>
                </c:pt>
                <c:pt idx="29">
                  <c:v>1.2520868113522488E-3</c:v>
                </c:pt>
                <c:pt idx="30">
                  <c:v>8.3472454090151305E-4</c:v>
                </c:pt>
                <c:pt idx="31">
                  <c:v>4.6953255425709467E-3</c:v>
                </c:pt>
                <c:pt idx="32">
                  <c:v>1.9720367278798001E-2</c:v>
                </c:pt>
                <c:pt idx="33">
                  <c:v>9.3489148580968018E-3</c:v>
                </c:pt>
                <c:pt idx="34">
                  <c:v>1.1936560565943249E-2</c:v>
                </c:pt>
                <c:pt idx="35">
                  <c:v>1.4482471153589305E-2</c:v>
                </c:pt>
                <c:pt idx="36">
                  <c:v>9.6828046744574514E-3</c:v>
                </c:pt>
                <c:pt idx="37">
                  <c:v>2.9632721202003387E-3</c:v>
                </c:pt>
                <c:pt idx="38">
                  <c:v>2.9632721202003109E-3</c:v>
                </c:pt>
                <c:pt idx="39">
                  <c:v>1.1769616026711227E-2</c:v>
                </c:pt>
                <c:pt idx="40">
                  <c:v>2.9173622704507518E-2</c:v>
                </c:pt>
                <c:pt idx="41">
                  <c:v>8.7228714524206219E-3</c:v>
                </c:pt>
                <c:pt idx="42">
                  <c:v>4.0667779632721224E-2</c:v>
                </c:pt>
                <c:pt idx="43">
                  <c:v>1.653589315525883E-2</c:v>
                </c:pt>
                <c:pt idx="44">
                  <c:v>1.3973288814691176E-2</c:v>
                </c:pt>
                <c:pt idx="45">
                  <c:v>1.8313856427378927E-2</c:v>
                </c:pt>
                <c:pt idx="46">
                  <c:v>1.0000000000000564E-3</c:v>
                </c:pt>
                <c:pt idx="47">
                  <c:v>1.2731218697829727E-2</c:v>
                </c:pt>
                <c:pt idx="48">
                  <c:v>2.2954924874791283E-2</c:v>
                </c:pt>
                <c:pt idx="49">
                  <c:v>8.3722871452420189E-3</c:v>
                </c:pt>
                <c:pt idx="50">
                  <c:v>1.0000000000000009E-2</c:v>
                </c:pt>
                <c:pt idx="51">
                  <c:v>1.0000000000000009E-2</c:v>
                </c:pt>
                <c:pt idx="52">
                  <c:v>5.9868959868960014E-3</c:v>
                </c:pt>
                <c:pt idx="53">
                  <c:v>3.9931301008095554E-2</c:v>
                </c:pt>
                <c:pt idx="54">
                  <c:v>4.2378964941569397E-2</c:v>
                </c:pt>
                <c:pt idx="55">
                  <c:v>3.262938230383966E-2</c:v>
                </c:pt>
                <c:pt idx="56">
                  <c:v>7.879799759599404E-3</c:v>
                </c:pt>
                <c:pt idx="57">
                  <c:v>1.3722871358931577E-2</c:v>
                </c:pt>
                <c:pt idx="58">
                  <c:v>1.0041736227045073E-2</c:v>
                </c:pt>
                <c:pt idx="59">
                  <c:v>1.1661101836394017E-2</c:v>
                </c:pt>
                <c:pt idx="60">
                  <c:v>7.3038395776292564E-3</c:v>
                </c:pt>
                <c:pt idx="61">
                  <c:v>7.8464108397328092E-3</c:v>
                </c:pt>
                <c:pt idx="62">
                  <c:v>1.0617696160267198E-2</c:v>
                </c:pt>
                <c:pt idx="63">
                  <c:v>5.2003340000000842E-3</c:v>
                </c:pt>
                <c:pt idx="64">
                  <c:v>3.0050079999999202E-3</c:v>
                </c:pt>
                <c:pt idx="65">
                  <c:v>1.1427379202003429E-2</c:v>
                </c:pt>
                <c:pt idx="66">
                  <c:v>3.0884808013356135E-3</c:v>
                </c:pt>
                <c:pt idx="67">
                  <c:v>5.008347245408995E-3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F6-4FEB-B118-3F5DD4049B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1730100688"/>
        <c:axId val="1730107344"/>
      </c:barChart>
      <c:lineChart>
        <c:grouping val="standard"/>
        <c:varyColors val="0"/>
        <c:ser>
          <c:idx val="4"/>
          <c:order val="2"/>
          <c:tx>
            <c:strRef>
              <c:f>'S-Curve Baseline 2 HIDE'!$A$11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shade val="92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shade val="92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'S-Curve Baseline 2 HIDE'!$B$4:$CK$4</c:f>
              <c:strCache>
                <c:ptCount val="88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  <c:pt idx="3">
                  <c:v>Week 5</c:v>
                </c:pt>
                <c:pt idx="4">
                  <c:v>Week 6</c:v>
                </c:pt>
                <c:pt idx="5">
                  <c:v>Week 7</c:v>
                </c:pt>
                <c:pt idx="6">
                  <c:v>Week 8</c:v>
                </c:pt>
                <c:pt idx="7">
                  <c:v>Week 9</c:v>
                </c:pt>
                <c:pt idx="8">
                  <c:v>Week 10</c:v>
                </c:pt>
                <c:pt idx="9">
                  <c:v>Week 11</c:v>
                </c:pt>
                <c:pt idx="10">
                  <c:v>Week 12</c:v>
                </c:pt>
                <c:pt idx="11">
                  <c:v>Week 13</c:v>
                </c:pt>
                <c:pt idx="12">
                  <c:v>Week 14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27</c:v>
                </c:pt>
                <c:pt idx="28">
                  <c:v>Week 28</c:v>
                </c:pt>
                <c:pt idx="29">
                  <c:v>Week 29</c:v>
                </c:pt>
                <c:pt idx="30">
                  <c:v>Week 30</c:v>
                </c:pt>
                <c:pt idx="31">
                  <c:v>Week 31</c:v>
                </c:pt>
                <c:pt idx="32">
                  <c:v>Week 32</c:v>
                </c:pt>
                <c:pt idx="33">
                  <c:v>Week 33</c:v>
                </c:pt>
                <c:pt idx="34">
                  <c:v>Week 34</c:v>
                </c:pt>
                <c:pt idx="35">
                  <c:v>Week 35</c:v>
                </c:pt>
                <c:pt idx="36">
                  <c:v>Week 36</c:v>
                </c:pt>
                <c:pt idx="37">
                  <c:v>Week 37</c:v>
                </c:pt>
                <c:pt idx="38">
                  <c:v>Week 38</c:v>
                </c:pt>
                <c:pt idx="39">
                  <c:v>Week 39</c:v>
                </c:pt>
                <c:pt idx="40">
                  <c:v>Week 40</c:v>
                </c:pt>
                <c:pt idx="41">
                  <c:v>Week 40</c:v>
                </c:pt>
                <c:pt idx="42">
                  <c:v>Week 41</c:v>
                </c:pt>
                <c:pt idx="43">
                  <c:v>Week 42</c:v>
                </c:pt>
                <c:pt idx="44">
                  <c:v>Week 43</c:v>
                </c:pt>
                <c:pt idx="45">
                  <c:v>Week 44</c:v>
                </c:pt>
                <c:pt idx="46">
                  <c:v>Week 45</c:v>
                </c:pt>
                <c:pt idx="47">
                  <c:v>Week 46</c:v>
                </c:pt>
                <c:pt idx="48">
                  <c:v>Week 47</c:v>
                </c:pt>
                <c:pt idx="49">
                  <c:v>Week 48</c:v>
                </c:pt>
                <c:pt idx="50">
                  <c:v>Week 49</c:v>
                </c:pt>
                <c:pt idx="51">
                  <c:v>Week 50</c:v>
                </c:pt>
                <c:pt idx="52">
                  <c:v>Week 51</c:v>
                </c:pt>
                <c:pt idx="53">
                  <c:v>Week 52</c:v>
                </c:pt>
                <c:pt idx="54">
                  <c:v>Week 1</c:v>
                </c:pt>
                <c:pt idx="55">
                  <c:v>Week 1</c:v>
                </c:pt>
                <c:pt idx="56">
                  <c:v>Week 2</c:v>
                </c:pt>
                <c:pt idx="57">
                  <c:v>Week 3</c:v>
                </c:pt>
                <c:pt idx="58">
                  <c:v>Week 4</c:v>
                </c:pt>
                <c:pt idx="59">
                  <c:v>Week 5</c:v>
                </c:pt>
                <c:pt idx="60">
                  <c:v>Week 6</c:v>
                </c:pt>
                <c:pt idx="61">
                  <c:v>Week 7</c:v>
                </c:pt>
                <c:pt idx="62">
                  <c:v>Week 8</c:v>
                </c:pt>
                <c:pt idx="63">
                  <c:v>Week 9</c:v>
                </c:pt>
                <c:pt idx="64">
                  <c:v>Week 10</c:v>
                </c:pt>
                <c:pt idx="65">
                  <c:v>Week 11</c:v>
                </c:pt>
                <c:pt idx="66">
                  <c:v>Week 12</c:v>
                </c:pt>
                <c:pt idx="67">
                  <c:v>Week 13</c:v>
                </c:pt>
                <c:pt idx="68">
                  <c:v>Week 14</c:v>
                </c:pt>
                <c:pt idx="69">
                  <c:v>Week 14</c:v>
                </c:pt>
                <c:pt idx="70">
                  <c:v>Week 15</c:v>
                </c:pt>
                <c:pt idx="71">
                  <c:v>Week 16</c:v>
                </c:pt>
                <c:pt idx="72">
                  <c:v>Week 17</c:v>
                </c:pt>
                <c:pt idx="73">
                  <c:v>Week 18</c:v>
                </c:pt>
                <c:pt idx="74">
                  <c:v>Week 19</c:v>
                </c:pt>
                <c:pt idx="75">
                  <c:v>Week 20</c:v>
                </c:pt>
                <c:pt idx="76">
                  <c:v>Week 21</c:v>
                </c:pt>
                <c:pt idx="77">
                  <c:v>Week 22</c:v>
                </c:pt>
                <c:pt idx="78">
                  <c:v>Week 23</c:v>
                </c:pt>
                <c:pt idx="79">
                  <c:v>Week 24</c:v>
                </c:pt>
                <c:pt idx="80">
                  <c:v>Week 25</c:v>
                </c:pt>
                <c:pt idx="81">
                  <c:v>Week 26</c:v>
                </c:pt>
                <c:pt idx="82">
                  <c:v>Week 27</c:v>
                </c:pt>
                <c:pt idx="83">
                  <c:v>Week 27</c:v>
                </c:pt>
                <c:pt idx="84">
                  <c:v>Week 28</c:v>
                </c:pt>
                <c:pt idx="85">
                  <c:v>Week 29</c:v>
                </c:pt>
                <c:pt idx="86">
                  <c:v>Week 30</c:v>
                </c:pt>
                <c:pt idx="87">
                  <c:v>Week 31</c:v>
                </c:pt>
              </c:strCache>
            </c:strRef>
          </c:cat>
          <c:val>
            <c:numRef>
              <c:f>'S-Curve Baseline 2 HIDE'!$B$11:$CK$11</c:f>
              <c:numCache>
                <c:formatCode>0.00%</c:formatCode>
                <c:ptCount val="88"/>
                <c:pt idx="0">
                  <c:v>2.9215358931552588E-3</c:v>
                </c:pt>
                <c:pt idx="1">
                  <c:v>7.0951585976627716E-3</c:v>
                </c:pt>
                <c:pt idx="2">
                  <c:v>1.1268781302170284E-2</c:v>
                </c:pt>
                <c:pt idx="3">
                  <c:v>1.5442404006677797E-2</c:v>
                </c:pt>
                <c:pt idx="4">
                  <c:v>1.961602671118531E-2</c:v>
                </c:pt>
                <c:pt idx="5">
                  <c:v>2.378964941569282E-2</c:v>
                </c:pt>
                <c:pt idx="6">
                  <c:v>2.7963272120200333E-2</c:v>
                </c:pt>
                <c:pt idx="7">
                  <c:v>3.213689482470785E-2</c:v>
                </c:pt>
                <c:pt idx="8">
                  <c:v>3.631051752921536E-2</c:v>
                </c:pt>
                <c:pt idx="9">
                  <c:v>4.0484140233722869E-2</c:v>
                </c:pt>
                <c:pt idx="10">
                  <c:v>4.4657762938230386E-2</c:v>
                </c:pt>
                <c:pt idx="11">
                  <c:v>4.8831385642737896E-2</c:v>
                </c:pt>
                <c:pt idx="12">
                  <c:v>5.5143989983305511E-2</c:v>
                </c:pt>
                <c:pt idx="13">
                  <c:v>6.1717445742904845E-2</c:v>
                </c:pt>
                <c:pt idx="14">
                  <c:v>6.6621452420701166E-2</c:v>
                </c:pt>
                <c:pt idx="15">
                  <c:v>7.31949081803005E-2</c:v>
                </c:pt>
                <c:pt idx="16">
                  <c:v>7.9768363939899833E-2</c:v>
                </c:pt>
                <c:pt idx="17">
                  <c:v>8.764607679465776E-2</c:v>
                </c:pt>
                <c:pt idx="18">
                  <c:v>8.9273789649415694E-2</c:v>
                </c:pt>
                <c:pt idx="19">
                  <c:v>9.3906510851419031E-2</c:v>
                </c:pt>
                <c:pt idx="20">
                  <c:v>9.891485809682804E-2</c:v>
                </c:pt>
                <c:pt idx="21">
                  <c:v>0.10459098497495826</c:v>
                </c:pt>
                <c:pt idx="22">
                  <c:v>0.10559265442404006</c:v>
                </c:pt>
                <c:pt idx="23">
                  <c:v>0.10799248747913189</c:v>
                </c:pt>
                <c:pt idx="24">
                  <c:v>0.11068447412353923</c:v>
                </c:pt>
                <c:pt idx="25">
                  <c:v>0.11216611018363939</c:v>
                </c:pt>
                <c:pt idx="26">
                  <c:v>0.11425292153589316</c:v>
                </c:pt>
                <c:pt idx="27">
                  <c:v>0.11529632721202003</c:v>
                </c:pt>
                <c:pt idx="28">
                  <c:v>0.11790484140233723</c:v>
                </c:pt>
                <c:pt idx="29">
                  <c:v>0.11915692821368948</c:v>
                </c:pt>
                <c:pt idx="30">
                  <c:v>0.11999165275459099</c:v>
                </c:pt>
                <c:pt idx="31">
                  <c:v>0.12468697829716194</c:v>
                </c:pt>
                <c:pt idx="32">
                  <c:v>0.14440734557595994</c:v>
                </c:pt>
                <c:pt idx="33">
                  <c:v>0.15375626043405674</c:v>
                </c:pt>
                <c:pt idx="34">
                  <c:v>0.16569282099999999</c:v>
                </c:pt>
                <c:pt idx="35">
                  <c:v>0.18017529215358929</c:v>
                </c:pt>
                <c:pt idx="36">
                  <c:v>0.18985809682804675</c:v>
                </c:pt>
                <c:pt idx="37">
                  <c:v>0.19282136894824708</c:v>
                </c:pt>
                <c:pt idx="38">
                  <c:v>0.1957846410684474</c:v>
                </c:pt>
                <c:pt idx="39">
                  <c:v>0.20755425709515862</c:v>
                </c:pt>
                <c:pt idx="40">
                  <c:v>0.23672787979966614</c:v>
                </c:pt>
                <c:pt idx="41">
                  <c:v>0.24545075125208676</c:v>
                </c:pt>
                <c:pt idx="42">
                  <c:v>0.28611853088480799</c:v>
                </c:pt>
                <c:pt idx="43">
                  <c:v>0.30265442404006682</c:v>
                </c:pt>
                <c:pt idx="44">
                  <c:v>0.31662771285475799</c:v>
                </c:pt>
                <c:pt idx="45">
                  <c:v>0.33494156928213692</c:v>
                </c:pt>
                <c:pt idx="46">
                  <c:v>0.33594156928213698</c:v>
                </c:pt>
                <c:pt idx="47">
                  <c:v>0.3486727879799667</c:v>
                </c:pt>
                <c:pt idx="48">
                  <c:v>0.37162771285475799</c:v>
                </c:pt>
                <c:pt idx="49">
                  <c:v>0.38</c:v>
                </c:pt>
                <c:pt idx="50">
                  <c:v>0.39</c:v>
                </c:pt>
                <c:pt idx="51">
                  <c:v>0.4</c:v>
                </c:pt>
                <c:pt idx="52">
                  <c:v>0.40598689598689602</c:v>
                </c:pt>
                <c:pt idx="53">
                  <c:v>0.44591819699499158</c:v>
                </c:pt>
                <c:pt idx="54">
                  <c:v>0.48829716193656098</c:v>
                </c:pt>
                <c:pt idx="55">
                  <c:v>0.52092654424040064</c:v>
                </c:pt>
                <c:pt idx="56">
                  <c:v>0.52880634400000004</c:v>
                </c:pt>
                <c:pt idx="57">
                  <c:v>0.54252921535893162</c:v>
                </c:pt>
                <c:pt idx="58">
                  <c:v>0.55257095158597669</c:v>
                </c:pt>
                <c:pt idx="59">
                  <c:v>0.56423205342237071</c:v>
                </c:pt>
                <c:pt idx="60">
                  <c:v>0.57153589299999996</c:v>
                </c:pt>
                <c:pt idx="61">
                  <c:v>0.57938230383973277</c:v>
                </c:pt>
                <c:pt idx="62">
                  <c:v>0.59</c:v>
                </c:pt>
                <c:pt idx="63">
                  <c:v>0.59520033400000005</c:v>
                </c:pt>
                <c:pt idx="64">
                  <c:v>0.59820534199999997</c:v>
                </c:pt>
                <c:pt idx="65">
                  <c:v>0.6096327212020034</c:v>
                </c:pt>
                <c:pt idx="66">
                  <c:v>0.61272120200333902</c:v>
                </c:pt>
                <c:pt idx="67">
                  <c:v>0.61772954924874801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F6-4FEB-B118-3F5DD4049B50}"/>
            </c:ext>
          </c:extLst>
        </c:ser>
        <c:ser>
          <c:idx val="2"/>
          <c:order val="0"/>
          <c:tx>
            <c:strRef>
              <c:f>'S-Curve Baseline 2 HIDE'!$A$9</c:f>
              <c:strCache>
                <c:ptCount val="1"/>
                <c:pt idx="0">
                  <c:v>Baseline %</c:v>
                </c:pt>
              </c:strCache>
            </c:strRef>
          </c:tx>
          <c:spPr>
            <a:ln w="2222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tint val="77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'S-Curve Baseline 2 HIDE'!$B$4:$CK$4</c:f>
              <c:strCache>
                <c:ptCount val="88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  <c:pt idx="3">
                  <c:v>Week 5</c:v>
                </c:pt>
                <c:pt idx="4">
                  <c:v>Week 6</c:v>
                </c:pt>
                <c:pt idx="5">
                  <c:v>Week 7</c:v>
                </c:pt>
                <c:pt idx="6">
                  <c:v>Week 8</c:v>
                </c:pt>
                <c:pt idx="7">
                  <c:v>Week 9</c:v>
                </c:pt>
                <c:pt idx="8">
                  <c:v>Week 10</c:v>
                </c:pt>
                <c:pt idx="9">
                  <c:v>Week 11</c:v>
                </c:pt>
                <c:pt idx="10">
                  <c:v>Week 12</c:v>
                </c:pt>
                <c:pt idx="11">
                  <c:v>Week 13</c:v>
                </c:pt>
                <c:pt idx="12">
                  <c:v>Week 14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27</c:v>
                </c:pt>
                <c:pt idx="28">
                  <c:v>Week 28</c:v>
                </c:pt>
                <c:pt idx="29">
                  <c:v>Week 29</c:v>
                </c:pt>
                <c:pt idx="30">
                  <c:v>Week 30</c:v>
                </c:pt>
                <c:pt idx="31">
                  <c:v>Week 31</c:v>
                </c:pt>
                <c:pt idx="32">
                  <c:v>Week 32</c:v>
                </c:pt>
                <c:pt idx="33">
                  <c:v>Week 33</c:v>
                </c:pt>
                <c:pt idx="34">
                  <c:v>Week 34</c:v>
                </c:pt>
                <c:pt idx="35">
                  <c:v>Week 35</c:v>
                </c:pt>
                <c:pt idx="36">
                  <c:v>Week 36</c:v>
                </c:pt>
                <c:pt idx="37">
                  <c:v>Week 37</c:v>
                </c:pt>
                <c:pt idx="38">
                  <c:v>Week 38</c:v>
                </c:pt>
                <c:pt idx="39">
                  <c:v>Week 39</c:v>
                </c:pt>
                <c:pt idx="40">
                  <c:v>Week 40</c:v>
                </c:pt>
                <c:pt idx="41">
                  <c:v>Week 40</c:v>
                </c:pt>
                <c:pt idx="42">
                  <c:v>Week 41</c:v>
                </c:pt>
                <c:pt idx="43">
                  <c:v>Week 42</c:v>
                </c:pt>
                <c:pt idx="44">
                  <c:v>Week 43</c:v>
                </c:pt>
                <c:pt idx="45">
                  <c:v>Week 44</c:v>
                </c:pt>
                <c:pt idx="46">
                  <c:v>Week 45</c:v>
                </c:pt>
                <c:pt idx="47">
                  <c:v>Week 46</c:v>
                </c:pt>
                <c:pt idx="48">
                  <c:v>Week 47</c:v>
                </c:pt>
                <c:pt idx="49">
                  <c:v>Week 48</c:v>
                </c:pt>
                <c:pt idx="50">
                  <c:v>Week 49</c:v>
                </c:pt>
                <c:pt idx="51">
                  <c:v>Week 50</c:v>
                </c:pt>
                <c:pt idx="52">
                  <c:v>Week 51</c:v>
                </c:pt>
                <c:pt idx="53">
                  <c:v>Week 52</c:v>
                </c:pt>
                <c:pt idx="54">
                  <c:v>Week 1</c:v>
                </c:pt>
                <c:pt idx="55">
                  <c:v>Week 1</c:v>
                </c:pt>
                <c:pt idx="56">
                  <c:v>Week 2</c:v>
                </c:pt>
                <c:pt idx="57">
                  <c:v>Week 3</c:v>
                </c:pt>
                <c:pt idx="58">
                  <c:v>Week 4</c:v>
                </c:pt>
                <c:pt idx="59">
                  <c:v>Week 5</c:v>
                </c:pt>
                <c:pt idx="60">
                  <c:v>Week 6</c:v>
                </c:pt>
                <c:pt idx="61">
                  <c:v>Week 7</c:v>
                </c:pt>
                <c:pt idx="62">
                  <c:v>Week 8</c:v>
                </c:pt>
                <c:pt idx="63">
                  <c:v>Week 9</c:v>
                </c:pt>
                <c:pt idx="64">
                  <c:v>Week 10</c:v>
                </c:pt>
                <c:pt idx="65">
                  <c:v>Week 11</c:v>
                </c:pt>
                <c:pt idx="66">
                  <c:v>Week 12</c:v>
                </c:pt>
                <c:pt idx="67">
                  <c:v>Week 13</c:v>
                </c:pt>
                <c:pt idx="68">
                  <c:v>Week 14</c:v>
                </c:pt>
                <c:pt idx="69">
                  <c:v>Week 14</c:v>
                </c:pt>
                <c:pt idx="70">
                  <c:v>Week 15</c:v>
                </c:pt>
                <c:pt idx="71">
                  <c:v>Week 16</c:v>
                </c:pt>
                <c:pt idx="72">
                  <c:v>Week 17</c:v>
                </c:pt>
                <c:pt idx="73">
                  <c:v>Week 18</c:v>
                </c:pt>
                <c:pt idx="74">
                  <c:v>Week 19</c:v>
                </c:pt>
                <c:pt idx="75">
                  <c:v>Week 20</c:v>
                </c:pt>
                <c:pt idx="76">
                  <c:v>Week 21</c:v>
                </c:pt>
                <c:pt idx="77">
                  <c:v>Week 22</c:v>
                </c:pt>
                <c:pt idx="78">
                  <c:v>Week 23</c:v>
                </c:pt>
                <c:pt idx="79">
                  <c:v>Week 24</c:v>
                </c:pt>
                <c:pt idx="80">
                  <c:v>Week 25</c:v>
                </c:pt>
                <c:pt idx="81">
                  <c:v>Week 26</c:v>
                </c:pt>
                <c:pt idx="82">
                  <c:v>Week 27</c:v>
                </c:pt>
                <c:pt idx="83">
                  <c:v>Week 27</c:v>
                </c:pt>
                <c:pt idx="84">
                  <c:v>Week 28</c:v>
                </c:pt>
                <c:pt idx="85">
                  <c:v>Week 29</c:v>
                </c:pt>
                <c:pt idx="86">
                  <c:v>Week 30</c:v>
                </c:pt>
                <c:pt idx="87">
                  <c:v>Week 31</c:v>
                </c:pt>
              </c:strCache>
            </c:strRef>
          </c:cat>
          <c:val>
            <c:numRef>
              <c:f>'S-Curve Baseline 2 HIDE'!$B$9:$CK$9</c:f>
              <c:numCache>
                <c:formatCode>0.00%</c:formatCode>
                <c:ptCount val="88"/>
                <c:pt idx="0">
                  <c:v>2.8665028665028664E-3</c:v>
                </c:pt>
                <c:pt idx="1">
                  <c:v>6.9615069615069618E-3</c:v>
                </c:pt>
                <c:pt idx="2">
                  <c:v>1.1056511056511056E-2</c:v>
                </c:pt>
                <c:pt idx="3">
                  <c:v>1.5151515151515152E-2</c:v>
                </c:pt>
                <c:pt idx="4">
                  <c:v>1.9246519246519246E-2</c:v>
                </c:pt>
                <c:pt idx="5">
                  <c:v>2.334152334152334E-2</c:v>
                </c:pt>
                <c:pt idx="6">
                  <c:v>2.7436527436527438E-2</c:v>
                </c:pt>
                <c:pt idx="7">
                  <c:v>3.1531531531531529E-2</c:v>
                </c:pt>
                <c:pt idx="8">
                  <c:v>3.562653562653563E-2</c:v>
                </c:pt>
                <c:pt idx="9">
                  <c:v>3.9721539721539724E-2</c:v>
                </c:pt>
                <c:pt idx="10">
                  <c:v>4.3816543816543818E-2</c:v>
                </c:pt>
                <c:pt idx="11">
                  <c:v>4.7911547911547912E-2</c:v>
                </c:pt>
                <c:pt idx="12">
                  <c:v>4.8730548730548731E-2</c:v>
                </c:pt>
                <c:pt idx="13">
                  <c:v>5.4105241605241605E-2</c:v>
                </c:pt>
                <c:pt idx="14">
                  <c:v>6.0554873054873053E-2</c:v>
                </c:pt>
                <c:pt idx="15">
                  <c:v>6.5366502866502862E-2</c:v>
                </c:pt>
                <c:pt idx="16">
                  <c:v>7.1816134316134317E-2</c:v>
                </c:pt>
                <c:pt idx="17">
                  <c:v>7.8265765765765771E-2</c:v>
                </c:pt>
                <c:pt idx="18">
                  <c:v>8.4715397215397212E-2</c:v>
                </c:pt>
                <c:pt idx="19">
                  <c:v>9.096027846027846E-2</c:v>
                </c:pt>
                <c:pt idx="20">
                  <c:v>0.11645167895167895</c:v>
                </c:pt>
                <c:pt idx="21">
                  <c:v>0.13667076167076167</c:v>
                </c:pt>
                <c:pt idx="22">
                  <c:v>0.15601965601965603</c:v>
                </c:pt>
                <c:pt idx="23">
                  <c:v>0.17521498771498772</c:v>
                </c:pt>
                <c:pt idx="24">
                  <c:v>0.19456388206388206</c:v>
                </c:pt>
                <c:pt idx="25">
                  <c:v>0.21391277641277642</c:v>
                </c:pt>
                <c:pt idx="26">
                  <c:v>0.22036240786240785</c:v>
                </c:pt>
                <c:pt idx="27">
                  <c:v>0.23326167076167076</c:v>
                </c:pt>
                <c:pt idx="28">
                  <c:v>0.25261056511056512</c:v>
                </c:pt>
                <c:pt idx="29">
                  <c:v>0.27027027027027029</c:v>
                </c:pt>
                <c:pt idx="30">
                  <c:v>0.2893120393120393</c:v>
                </c:pt>
                <c:pt idx="31">
                  <c:v>0.30866093366093367</c:v>
                </c:pt>
                <c:pt idx="32">
                  <c:v>0.32800982800982803</c:v>
                </c:pt>
                <c:pt idx="33">
                  <c:v>0.34735872235872234</c:v>
                </c:pt>
                <c:pt idx="34">
                  <c:v>0.3667076167076167</c:v>
                </c:pt>
                <c:pt idx="35">
                  <c:v>0.38605651105651106</c:v>
                </c:pt>
                <c:pt idx="36">
                  <c:v>0.40540540540540543</c:v>
                </c:pt>
                <c:pt idx="37">
                  <c:v>0.42475429975429974</c:v>
                </c:pt>
                <c:pt idx="38">
                  <c:v>0.48730548730548728</c:v>
                </c:pt>
                <c:pt idx="39">
                  <c:v>0.55226248976248982</c:v>
                </c:pt>
                <c:pt idx="40">
                  <c:v>0.59526003276003281</c:v>
                </c:pt>
                <c:pt idx="41">
                  <c:v>0.63324119574119575</c:v>
                </c:pt>
                <c:pt idx="42">
                  <c:v>0.69778869778869779</c:v>
                </c:pt>
                <c:pt idx="43">
                  <c:v>0.76161957411957415</c:v>
                </c:pt>
                <c:pt idx="44">
                  <c:v>0.82202088452088451</c:v>
                </c:pt>
                <c:pt idx="45">
                  <c:v>0.87315724815724816</c:v>
                </c:pt>
                <c:pt idx="46">
                  <c:v>0.91159909909909909</c:v>
                </c:pt>
                <c:pt idx="47">
                  <c:v>0.93944512694512694</c:v>
                </c:pt>
                <c:pt idx="48">
                  <c:v>0.96109746109746108</c:v>
                </c:pt>
                <c:pt idx="49">
                  <c:v>0.97829647829647826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F6-4FEB-B118-3F5DD4049B50}"/>
            </c:ext>
          </c:extLst>
        </c:ser>
        <c:ser>
          <c:idx val="3"/>
          <c:order val="1"/>
          <c:tx>
            <c:strRef>
              <c:f>'S-Curve Baseline 2 HIDE'!$A$10</c:f>
              <c:strCache>
                <c:ptCount val="1"/>
                <c:pt idx="0">
                  <c:v>Baseline #2 %</c:v>
                </c:pt>
              </c:strCache>
            </c:strRef>
          </c:tx>
          <c:spPr>
            <a:ln w="22225" cap="rnd">
              <a:solidFill>
                <a:schemeClr val="accent1">
                  <a:tint val="9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tint val="93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'S-Curve Baseline 2 HIDE'!$B$4:$CK$4</c:f>
              <c:strCache>
                <c:ptCount val="88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  <c:pt idx="3">
                  <c:v>Week 5</c:v>
                </c:pt>
                <c:pt idx="4">
                  <c:v>Week 6</c:v>
                </c:pt>
                <c:pt idx="5">
                  <c:v>Week 7</c:v>
                </c:pt>
                <c:pt idx="6">
                  <c:v>Week 8</c:v>
                </c:pt>
                <c:pt idx="7">
                  <c:v>Week 9</c:v>
                </c:pt>
                <c:pt idx="8">
                  <c:v>Week 10</c:v>
                </c:pt>
                <c:pt idx="9">
                  <c:v>Week 11</c:v>
                </c:pt>
                <c:pt idx="10">
                  <c:v>Week 12</c:v>
                </c:pt>
                <c:pt idx="11">
                  <c:v>Week 13</c:v>
                </c:pt>
                <c:pt idx="12">
                  <c:v>Week 14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27</c:v>
                </c:pt>
                <c:pt idx="28">
                  <c:v>Week 28</c:v>
                </c:pt>
                <c:pt idx="29">
                  <c:v>Week 29</c:v>
                </c:pt>
                <c:pt idx="30">
                  <c:v>Week 30</c:v>
                </c:pt>
                <c:pt idx="31">
                  <c:v>Week 31</c:v>
                </c:pt>
                <c:pt idx="32">
                  <c:v>Week 32</c:v>
                </c:pt>
                <c:pt idx="33">
                  <c:v>Week 33</c:v>
                </c:pt>
                <c:pt idx="34">
                  <c:v>Week 34</c:v>
                </c:pt>
                <c:pt idx="35">
                  <c:v>Week 35</c:v>
                </c:pt>
                <c:pt idx="36">
                  <c:v>Week 36</c:v>
                </c:pt>
                <c:pt idx="37">
                  <c:v>Week 37</c:v>
                </c:pt>
                <c:pt idx="38">
                  <c:v>Week 38</c:v>
                </c:pt>
                <c:pt idx="39">
                  <c:v>Week 39</c:v>
                </c:pt>
                <c:pt idx="40">
                  <c:v>Week 40</c:v>
                </c:pt>
                <c:pt idx="41">
                  <c:v>Week 40</c:v>
                </c:pt>
                <c:pt idx="42">
                  <c:v>Week 41</c:v>
                </c:pt>
                <c:pt idx="43">
                  <c:v>Week 42</c:v>
                </c:pt>
                <c:pt idx="44">
                  <c:v>Week 43</c:v>
                </c:pt>
                <c:pt idx="45">
                  <c:v>Week 44</c:v>
                </c:pt>
                <c:pt idx="46">
                  <c:v>Week 45</c:v>
                </c:pt>
                <c:pt idx="47">
                  <c:v>Week 46</c:v>
                </c:pt>
                <c:pt idx="48">
                  <c:v>Week 47</c:v>
                </c:pt>
                <c:pt idx="49">
                  <c:v>Week 48</c:v>
                </c:pt>
                <c:pt idx="50">
                  <c:v>Week 49</c:v>
                </c:pt>
                <c:pt idx="51">
                  <c:v>Week 50</c:v>
                </c:pt>
                <c:pt idx="52">
                  <c:v>Week 51</c:v>
                </c:pt>
                <c:pt idx="53">
                  <c:v>Week 52</c:v>
                </c:pt>
                <c:pt idx="54">
                  <c:v>Week 1</c:v>
                </c:pt>
                <c:pt idx="55">
                  <c:v>Week 1</c:v>
                </c:pt>
                <c:pt idx="56">
                  <c:v>Week 2</c:v>
                </c:pt>
                <c:pt idx="57">
                  <c:v>Week 3</c:v>
                </c:pt>
                <c:pt idx="58">
                  <c:v>Week 4</c:v>
                </c:pt>
                <c:pt idx="59">
                  <c:v>Week 5</c:v>
                </c:pt>
                <c:pt idx="60">
                  <c:v>Week 6</c:v>
                </c:pt>
                <c:pt idx="61">
                  <c:v>Week 7</c:v>
                </c:pt>
                <c:pt idx="62">
                  <c:v>Week 8</c:v>
                </c:pt>
                <c:pt idx="63">
                  <c:v>Week 9</c:v>
                </c:pt>
                <c:pt idx="64">
                  <c:v>Week 10</c:v>
                </c:pt>
                <c:pt idx="65">
                  <c:v>Week 11</c:v>
                </c:pt>
                <c:pt idx="66">
                  <c:v>Week 12</c:v>
                </c:pt>
                <c:pt idx="67">
                  <c:v>Week 13</c:v>
                </c:pt>
                <c:pt idx="68">
                  <c:v>Week 14</c:v>
                </c:pt>
                <c:pt idx="69">
                  <c:v>Week 14</c:v>
                </c:pt>
                <c:pt idx="70">
                  <c:v>Week 15</c:v>
                </c:pt>
                <c:pt idx="71">
                  <c:v>Week 16</c:v>
                </c:pt>
                <c:pt idx="72">
                  <c:v>Week 17</c:v>
                </c:pt>
                <c:pt idx="73">
                  <c:v>Week 18</c:v>
                </c:pt>
                <c:pt idx="74">
                  <c:v>Week 19</c:v>
                </c:pt>
                <c:pt idx="75">
                  <c:v>Week 20</c:v>
                </c:pt>
                <c:pt idx="76">
                  <c:v>Week 21</c:v>
                </c:pt>
                <c:pt idx="77">
                  <c:v>Week 22</c:v>
                </c:pt>
                <c:pt idx="78">
                  <c:v>Week 23</c:v>
                </c:pt>
                <c:pt idx="79">
                  <c:v>Week 24</c:v>
                </c:pt>
                <c:pt idx="80">
                  <c:v>Week 25</c:v>
                </c:pt>
                <c:pt idx="81">
                  <c:v>Week 26</c:v>
                </c:pt>
                <c:pt idx="82">
                  <c:v>Week 27</c:v>
                </c:pt>
                <c:pt idx="83">
                  <c:v>Week 27</c:v>
                </c:pt>
                <c:pt idx="84">
                  <c:v>Week 28</c:v>
                </c:pt>
                <c:pt idx="85">
                  <c:v>Week 29</c:v>
                </c:pt>
                <c:pt idx="86">
                  <c:v>Week 30</c:v>
                </c:pt>
                <c:pt idx="87">
                  <c:v>Week 31</c:v>
                </c:pt>
              </c:strCache>
            </c:strRef>
          </c:cat>
          <c:val>
            <c:numRef>
              <c:f>'S-Curve Baseline 2 HIDE'!$B$10:$CK$10</c:f>
              <c:numCache>
                <c:formatCode>0.00%</c:formatCode>
                <c:ptCount val="88"/>
                <c:pt idx="67">
                  <c:v>0.61772954924874801</c:v>
                </c:pt>
                <c:pt idx="68">
                  <c:v>0.65888615888615876</c:v>
                </c:pt>
                <c:pt idx="69">
                  <c:v>0.70925470925470913</c:v>
                </c:pt>
                <c:pt idx="70">
                  <c:v>0.75880425880425872</c:v>
                </c:pt>
                <c:pt idx="71">
                  <c:v>0.79975429975429968</c:v>
                </c:pt>
                <c:pt idx="72">
                  <c:v>0.83251433251433238</c:v>
                </c:pt>
                <c:pt idx="73">
                  <c:v>0.86191646191646198</c:v>
                </c:pt>
                <c:pt idx="74">
                  <c:v>0.8844389844389845</c:v>
                </c:pt>
                <c:pt idx="75">
                  <c:v>0.8990171990171989</c:v>
                </c:pt>
                <c:pt idx="76">
                  <c:v>0.90720720720720704</c:v>
                </c:pt>
                <c:pt idx="77">
                  <c:v>0.91777231777231771</c:v>
                </c:pt>
                <c:pt idx="78">
                  <c:v>0.92760032760032751</c:v>
                </c:pt>
                <c:pt idx="79">
                  <c:v>0.93579033579033577</c:v>
                </c:pt>
                <c:pt idx="80">
                  <c:v>0.9424242424242425</c:v>
                </c:pt>
                <c:pt idx="81">
                  <c:v>0.9542178542178541</c:v>
                </c:pt>
                <c:pt idx="82">
                  <c:v>0.96650286650286643</c:v>
                </c:pt>
                <c:pt idx="83">
                  <c:v>0.97493857493857505</c:v>
                </c:pt>
                <c:pt idx="84">
                  <c:v>0.9831285831285832</c:v>
                </c:pt>
                <c:pt idx="85">
                  <c:v>0.99131859131859135</c:v>
                </c:pt>
                <c:pt idx="86">
                  <c:v>0.9995085995085996</c:v>
                </c:pt>
                <c:pt idx="8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F6-4FEB-B118-3F5DD4049B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9151599"/>
        <c:axId val="589149519"/>
      </c:lineChart>
      <c:catAx>
        <c:axId val="58915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49519"/>
        <c:crosses val="autoZero"/>
        <c:auto val="1"/>
        <c:lblAlgn val="ctr"/>
        <c:lblOffset val="100"/>
        <c:noMultiLvlLbl val="0"/>
      </c:catAx>
      <c:valAx>
        <c:axId val="58914951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51599"/>
        <c:crosses val="autoZero"/>
        <c:crossBetween val="between"/>
      </c:valAx>
      <c:valAx>
        <c:axId val="1730107344"/>
        <c:scaling>
          <c:orientation val="minMax"/>
          <c:max val="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100688"/>
        <c:crosses val="max"/>
        <c:crossBetween val="between"/>
      </c:valAx>
      <c:catAx>
        <c:axId val="17301006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301073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PH"/>
              <a:t>ELECTRICAL INSTALLATION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5"/>
          <c:order val="6"/>
          <c:tx>
            <c:strRef>
              <c:f>'S-Curve Baseline2 July-Nov 26'!$A$13</c:f>
              <c:strCache>
                <c:ptCount val="1"/>
                <c:pt idx="0">
                  <c:v>Current week highligter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'S-Curve Baseline2 July-Nov 26'!$BU$13:$CP$13</c:f>
            </c:numRef>
          </c:val>
          <c:extLst>
            <c:ext xmlns:c16="http://schemas.microsoft.com/office/drawing/2014/chart" uri="{C3380CC4-5D6E-409C-BE32-E72D297353CC}">
              <c16:uniqueId val="{00000011-5114-44A2-8DBA-C73AB7987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9151599"/>
        <c:axId val="589149519"/>
      </c:barChart>
      <c:barChart>
        <c:barDir val="col"/>
        <c:grouping val="clustered"/>
        <c:varyColors val="0"/>
        <c:ser>
          <c:idx val="0"/>
          <c:order val="3"/>
          <c:tx>
            <c:strRef>
              <c:f>'S-Curve Baseline2 July-Nov 26'!$A$6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4">
                <a:shade val="4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'S-Curve Baseline2 July-Nov 26'!$BU$6:$CP$6</c:f>
              <c:numCache>
                <c:formatCode>0.00%</c:formatCode>
                <c:ptCount val="22"/>
                <c:pt idx="0">
                  <c:v>5.008347245408995E-3</c:v>
                </c:pt>
                <c:pt idx="1">
                  <c:v>2.6794657762936325E-3</c:v>
                </c:pt>
                <c:pt idx="2">
                  <c:v>3.9232053422372237E-3</c:v>
                </c:pt>
                <c:pt idx="3">
                  <c:v>3.1719532554256302E-3</c:v>
                </c:pt>
                <c:pt idx="4">
                  <c:v>3.3973288814691527E-3</c:v>
                </c:pt>
                <c:pt idx="5">
                  <c:v>8.5141903171953581E-3</c:v>
                </c:pt>
                <c:pt idx="6">
                  <c:v>1.1035058430717726E-2</c:v>
                </c:pt>
                <c:pt idx="7">
                  <c:v>1.0049248747913242E-2</c:v>
                </c:pt>
                <c:pt idx="8">
                  <c:v>7.939065108514276E-3</c:v>
                </c:pt>
                <c:pt idx="9">
                  <c:v>6.8864774624373126E-3</c:v>
                </c:pt>
                <c:pt idx="10">
                  <c:v>8.9729549248747098E-3</c:v>
                </c:pt>
                <c:pt idx="11">
                  <c:v>5.7015025041736722E-3</c:v>
                </c:pt>
                <c:pt idx="12">
                  <c:v>5.972153972154004E-3</c:v>
                </c:pt>
                <c:pt idx="13">
                  <c:v>5.8140868140870161E-3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14-44A2-8DBA-C73AB79876DE}"/>
            </c:ext>
          </c:extLst>
        </c:ser>
        <c:ser>
          <c:idx val="7"/>
          <c:order val="4"/>
          <c:tx>
            <c:strRef>
              <c:f>'S-Curve Baseline2 July-Nov 26'!$A$5</c:f>
              <c:strCache>
                <c:ptCount val="1"/>
                <c:pt idx="0">
                  <c:v>Planned Weekly</c:v>
                </c:pt>
              </c:strCache>
            </c:strRef>
          </c:tx>
          <c:spPr>
            <a:solidFill>
              <a:schemeClr val="accent4">
                <a:tint val="46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'S-Curve Baseline2 July-Nov 26'!$BU$5:$CP$5</c:f>
              <c:numCache>
                <c:formatCode>0.00%</c:formatCode>
                <c:ptCount val="22"/>
                <c:pt idx="1">
                  <c:v>4.1156609637410746E-2</c:v>
                </c:pt>
                <c:pt idx="2">
                  <c:v>5.0368550368550369E-2</c:v>
                </c:pt>
                <c:pt idx="3">
                  <c:v>4.9549549549549599E-2</c:v>
                </c:pt>
                <c:pt idx="4">
                  <c:v>4.0950040950040956E-2</c:v>
                </c:pt>
                <c:pt idx="5">
                  <c:v>3.2760032760032698E-2</c:v>
                </c:pt>
                <c:pt idx="6">
                  <c:v>2.9402129402129606E-2</c:v>
                </c:pt>
                <c:pt idx="7">
                  <c:v>2.2522522522522515E-2</c:v>
                </c:pt>
                <c:pt idx="8">
                  <c:v>1.4578214578214399E-2</c:v>
                </c:pt>
                <c:pt idx="9">
                  <c:v>8.1900081900081467E-3</c:v>
                </c:pt>
                <c:pt idx="10">
                  <c:v>1.0565110565110669E-2</c:v>
                </c:pt>
                <c:pt idx="11">
                  <c:v>6.5520065520064952E-3</c:v>
                </c:pt>
                <c:pt idx="12">
                  <c:v>3.2760032760033031E-3</c:v>
                </c:pt>
                <c:pt idx="13">
                  <c:v>8.1900081900082577E-3</c:v>
                </c:pt>
                <c:pt idx="14">
                  <c:v>6.6339066339067276E-3</c:v>
                </c:pt>
                <c:pt idx="15">
                  <c:v>1.1793611793611603E-2</c:v>
                </c:pt>
                <c:pt idx="16">
                  <c:v>1.2285012285012331E-2</c:v>
                </c:pt>
                <c:pt idx="17">
                  <c:v>8.4357084357086221E-3</c:v>
                </c:pt>
                <c:pt idx="18">
                  <c:v>8.1900081900081467E-3</c:v>
                </c:pt>
                <c:pt idx="19">
                  <c:v>8.1900081900081467E-3</c:v>
                </c:pt>
                <c:pt idx="20">
                  <c:v>8.1900081900082577E-3</c:v>
                </c:pt>
                <c:pt idx="21">
                  <c:v>4.9140049140039554E-4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4-44A2-8DBA-C73AB79876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1730100688"/>
        <c:axId val="1730107344"/>
      </c:barChart>
      <c:lineChart>
        <c:grouping val="standard"/>
        <c:varyColors val="0"/>
        <c:ser>
          <c:idx val="2"/>
          <c:order val="0"/>
          <c:tx>
            <c:strRef>
              <c:f>'S-Curve Baseline2 July-Nov 26'!$A$9</c:f>
              <c:strCache>
                <c:ptCount val="1"/>
                <c:pt idx="0">
                  <c:v>Baseline % Accu.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tint val="77000"/>
                  </a:schemeClr>
                </a:solidFill>
                <a:round/>
              </a:ln>
              <a:effectLst/>
            </c:spPr>
          </c:marker>
          <c:dLbls>
            <c:delete val="1"/>
          </c:dLbls>
          <c:cat>
            <c:multiLvlStrRef>
              <c:f>'S-Curve Baseline2 July-Nov 26'!$BU$3:$CP$4</c:f>
              <c:multiLvlStrCache>
                <c:ptCount val="22"/>
                <c:lvl>
                  <c:pt idx="0">
                    <c:v>Week 16</c:v>
                  </c:pt>
                  <c:pt idx="1">
                    <c:v>Week 17</c:v>
                  </c:pt>
                  <c:pt idx="2">
                    <c:v>Week 18</c:v>
                  </c:pt>
                  <c:pt idx="3">
                    <c:v>Week 19</c:v>
                  </c:pt>
                  <c:pt idx="4">
                    <c:v>Week 20</c:v>
                  </c:pt>
                  <c:pt idx="5">
                    <c:v>Week 21</c:v>
                  </c:pt>
                  <c:pt idx="6">
                    <c:v>Week 22</c:v>
                  </c:pt>
                  <c:pt idx="7">
                    <c:v>Week 23</c:v>
                  </c:pt>
                  <c:pt idx="8">
                    <c:v>Week 24</c:v>
                  </c:pt>
                  <c:pt idx="9">
                    <c:v>Week 25</c:v>
                  </c:pt>
                  <c:pt idx="10">
                    <c:v>Week 26</c:v>
                  </c:pt>
                  <c:pt idx="11">
                    <c:v>Week 27</c:v>
                  </c:pt>
                  <c:pt idx="12">
                    <c:v>Week 27</c:v>
                  </c:pt>
                  <c:pt idx="13">
                    <c:v>Week 28</c:v>
                  </c:pt>
                  <c:pt idx="14">
                    <c:v>Week 29</c:v>
                  </c:pt>
                  <c:pt idx="15">
                    <c:v>Week 30</c:v>
                  </c:pt>
                  <c:pt idx="16">
                    <c:v>Week 31</c:v>
                  </c:pt>
                  <c:pt idx="17">
                    <c:v>Week 32</c:v>
                  </c:pt>
                  <c:pt idx="18">
                    <c:v>Week 33</c:v>
                  </c:pt>
                  <c:pt idx="19">
                    <c:v>Week 34</c:v>
                  </c:pt>
                  <c:pt idx="20">
                    <c:v>Week 35</c:v>
                  </c:pt>
                  <c:pt idx="21">
                    <c:v>Week 36</c:v>
                  </c:pt>
                </c:lvl>
                <c:lvl>
                  <c:pt idx="0">
                    <c:v>July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August</c:v>
                  </c:pt>
                  <c:pt idx="4">
                    <c:v>August</c:v>
                  </c:pt>
                  <c:pt idx="5">
                    <c:v>August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September</c:v>
                  </c:pt>
                  <c:pt idx="9">
                    <c:v>September</c:v>
                  </c:pt>
                  <c:pt idx="10">
                    <c:v>September</c:v>
                  </c:pt>
                  <c:pt idx="11">
                    <c:v>September</c:v>
                  </c:pt>
                  <c:pt idx="12">
                    <c:v>October</c:v>
                  </c:pt>
                  <c:pt idx="13">
                    <c:v>October</c:v>
                  </c:pt>
                  <c:pt idx="14">
                    <c:v>October</c:v>
                  </c:pt>
                  <c:pt idx="15">
                    <c:v>October</c:v>
                  </c:pt>
                  <c:pt idx="16">
                    <c:v>October</c:v>
                  </c:pt>
                  <c:pt idx="17">
                    <c:v>November</c:v>
                  </c:pt>
                  <c:pt idx="18">
                    <c:v>November</c:v>
                  </c:pt>
                  <c:pt idx="19">
                    <c:v>November</c:v>
                  </c:pt>
                  <c:pt idx="20">
                    <c:v>November</c:v>
                  </c:pt>
                  <c:pt idx="21">
                    <c:v>November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'S-Curve Baseline2 July-Nov 26'!$BU$9:$CP$9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14-44A2-8DBA-C73AB79876DE}"/>
            </c:ext>
          </c:extLst>
        </c:ser>
        <c:ser>
          <c:idx val="3"/>
          <c:order val="1"/>
          <c:tx>
            <c:strRef>
              <c:f>'S-Curve Baseline2 July-Nov 26'!$A$10</c:f>
              <c:strCache>
                <c:ptCount val="1"/>
                <c:pt idx="0">
                  <c:v>Baseline #2 % Accu.</c:v>
                </c:pt>
              </c:strCache>
            </c:strRef>
          </c:tx>
          <c:spPr>
            <a:ln w="2222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tint val="93000"/>
                  </a:schemeClr>
                </a:solidFill>
                <a:round/>
              </a:ln>
              <a:effectLst/>
            </c:spPr>
          </c:marker>
          <c:dLbls>
            <c:delete val="1"/>
          </c:dLbls>
          <c:cat>
            <c:multiLvlStrRef>
              <c:f>'S-Curve Baseline2 July-Nov 26'!$BU$3:$CP$4</c:f>
              <c:multiLvlStrCache>
                <c:ptCount val="22"/>
                <c:lvl>
                  <c:pt idx="0">
                    <c:v>Week 16</c:v>
                  </c:pt>
                  <c:pt idx="1">
                    <c:v>Week 17</c:v>
                  </c:pt>
                  <c:pt idx="2">
                    <c:v>Week 18</c:v>
                  </c:pt>
                  <c:pt idx="3">
                    <c:v>Week 19</c:v>
                  </c:pt>
                  <c:pt idx="4">
                    <c:v>Week 20</c:v>
                  </c:pt>
                  <c:pt idx="5">
                    <c:v>Week 21</c:v>
                  </c:pt>
                  <c:pt idx="6">
                    <c:v>Week 22</c:v>
                  </c:pt>
                  <c:pt idx="7">
                    <c:v>Week 23</c:v>
                  </c:pt>
                  <c:pt idx="8">
                    <c:v>Week 24</c:v>
                  </c:pt>
                  <c:pt idx="9">
                    <c:v>Week 25</c:v>
                  </c:pt>
                  <c:pt idx="10">
                    <c:v>Week 26</c:v>
                  </c:pt>
                  <c:pt idx="11">
                    <c:v>Week 27</c:v>
                  </c:pt>
                  <c:pt idx="12">
                    <c:v>Week 27</c:v>
                  </c:pt>
                  <c:pt idx="13">
                    <c:v>Week 28</c:v>
                  </c:pt>
                  <c:pt idx="14">
                    <c:v>Week 29</c:v>
                  </c:pt>
                  <c:pt idx="15">
                    <c:v>Week 30</c:v>
                  </c:pt>
                  <c:pt idx="16">
                    <c:v>Week 31</c:v>
                  </c:pt>
                  <c:pt idx="17">
                    <c:v>Week 32</c:v>
                  </c:pt>
                  <c:pt idx="18">
                    <c:v>Week 33</c:v>
                  </c:pt>
                  <c:pt idx="19">
                    <c:v>Week 34</c:v>
                  </c:pt>
                  <c:pt idx="20">
                    <c:v>Week 35</c:v>
                  </c:pt>
                  <c:pt idx="21">
                    <c:v>Week 36</c:v>
                  </c:pt>
                </c:lvl>
                <c:lvl>
                  <c:pt idx="0">
                    <c:v>July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August</c:v>
                  </c:pt>
                  <c:pt idx="4">
                    <c:v>August</c:v>
                  </c:pt>
                  <c:pt idx="5">
                    <c:v>August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September</c:v>
                  </c:pt>
                  <c:pt idx="9">
                    <c:v>September</c:v>
                  </c:pt>
                  <c:pt idx="10">
                    <c:v>September</c:v>
                  </c:pt>
                  <c:pt idx="11">
                    <c:v>September</c:v>
                  </c:pt>
                  <c:pt idx="12">
                    <c:v>October</c:v>
                  </c:pt>
                  <c:pt idx="13">
                    <c:v>October</c:v>
                  </c:pt>
                  <c:pt idx="14">
                    <c:v>October</c:v>
                  </c:pt>
                  <c:pt idx="15">
                    <c:v>October</c:v>
                  </c:pt>
                  <c:pt idx="16">
                    <c:v>October</c:v>
                  </c:pt>
                  <c:pt idx="17">
                    <c:v>November</c:v>
                  </c:pt>
                  <c:pt idx="18">
                    <c:v>November</c:v>
                  </c:pt>
                  <c:pt idx="19">
                    <c:v>November</c:v>
                  </c:pt>
                  <c:pt idx="20">
                    <c:v>November</c:v>
                  </c:pt>
                  <c:pt idx="21">
                    <c:v>November</c:v>
                  </c:pt>
                </c:lvl>
              </c:multiLvlStrCache>
            </c:multiLvlStrRef>
          </c:cat>
          <c:val>
            <c:numRef>
              <c:f>'S-Curve Baseline2 July-Nov 26'!$BU$10:$CP$10</c:f>
              <c:numCache>
                <c:formatCode>0.00%</c:formatCode>
                <c:ptCount val="22"/>
                <c:pt idx="0">
                  <c:v>0.61772954924874801</c:v>
                </c:pt>
                <c:pt idx="1">
                  <c:v>0.65888615888615876</c:v>
                </c:pt>
                <c:pt idx="2">
                  <c:v>0.70925470925470913</c:v>
                </c:pt>
                <c:pt idx="3">
                  <c:v>0.75880425880425872</c:v>
                </c:pt>
                <c:pt idx="4">
                  <c:v>0.79975429975429968</c:v>
                </c:pt>
                <c:pt idx="5">
                  <c:v>0.83251433251433238</c:v>
                </c:pt>
                <c:pt idx="6">
                  <c:v>0.86191646191646198</c:v>
                </c:pt>
                <c:pt idx="7">
                  <c:v>0.8844389844389845</c:v>
                </c:pt>
                <c:pt idx="8">
                  <c:v>0.8990171990171989</c:v>
                </c:pt>
                <c:pt idx="9">
                  <c:v>0.90720720720720704</c:v>
                </c:pt>
                <c:pt idx="10">
                  <c:v>0.91777231777231771</c:v>
                </c:pt>
                <c:pt idx="11">
                  <c:v>0.92432432432432421</c:v>
                </c:pt>
                <c:pt idx="12">
                  <c:v>0.92760032760032751</c:v>
                </c:pt>
                <c:pt idx="13">
                  <c:v>0.93579033579033577</c:v>
                </c:pt>
                <c:pt idx="14">
                  <c:v>0.9424242424242425</c:v>
                </c:pt>
                <c:pt idx="15">
                  <c:v>0.9542178542178541</c:v>
                </c:pt>
                <c:pt idx="16">
                  <c:v>0.96650286650286643</c:v>
                </c:pt>
                <c:pt idx="17">
                  <c:v>0.97493857493857505</c:v>
                </c:pt>
                <c:pt idx="18">
                  <c:v>0.9831285831285832</c:v>
                </c:pt>
                <c:pt idx="19">
                  <c:v>0.99131859131859135</c:v>
                </c:pt>
                <c:pt idx="20">
                  <c:v>0.9995085995085996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14-44A2-8DBA-C73AB79876DE}"/>
            </c:ext>
          </c:extLst>
        </c:ser>
        <c:ser>
          <c:idx val="4"/>
          <c:order val="2"/>
          <c:tx>
            <c:strRef>
              <c:f>'S-Curve Baseline2 July-Nov 26'!$A$11</c:f>
              <c:strCache>
                <c:ptCount val="1"/>
                <c:pt idx="0">
                  <c:v>Actual Accu.</c:v>
                </c:pt>
              </c:strCache>
            </c:strRef>
          </c:tx>
          <c:spPr>
            <a:ln w="22225" cap="rnd">
              <a:solidFill>
                <a:srgbClr val="00FF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rgbClr val="44C274"/>
                </a:solidFill>
                <a:round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BA-40CF-8256-73112BA506A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74-47ED-B177-8B675CAF485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94-469F-8611-C3E8E629107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FD-45F0-AB60-EAA528C233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BA-40CF-8256-73112BA506A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00-4383-8D4B-86820FCA971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CB-4F69-8CA0-E436EC52E9E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11-4C79-8860-76BDB25CB17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11-4C79-8860-76BDB25CB17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14-4F0B-89B8-B9E6F412BA4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39-4D8A-86D1-7C072B58583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EC-4D88-A7AE-EDD2F10CC54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59-49FE-9D59-97BA0C7BE83F}"/>
                </c:ext>
              </c:extLst>
            </c:dLbl>
            <c:dLbl>
              <c:idx val="13"/>
              <c:layout>
                <c:manualLayout>
                  <c:x val="-2.7312444738347687E-2"/>
                  <c:y val="-8.4624772316995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B5-406C-8589-69FA75FA6247}"/>
                </c:ext>
              </c:extLst>
            </c:dLbl>
            <c:spPr>
              <a:solidFill>
                <a:srgbClr val="00FF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-780000" spcFirstLastPara="1" vertOverflow="clip" horzOverflow="clip" vert="horz" wrap="square" lIns="36576" tIns="18288" rIns="36576" bIns="18288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'S-Curve Baseline2 July-Nov 26'!$BU$3:$CP$4</c:f>
              <c:multiLvlStrCache>
                <c:ptCount val="22"/>
                <c:lvl>
                  <c:pt idx="0">
                    <c:v>Week 16</c:v>
                  </c:pt>
                  <c:pt idx="1">
                    <c:v>Week 17</c:v>
                  </c:pt>
                  <c:pt idx="2">
                    <c:v>Week 18</c:v>
                  </c:pt>
                  <c:pt idx="3">
                    <c:v>Week 19</c:v>
                  </c:pt>
                  <c:pt idx="4">
                    <c:v>Week 20</c:v>
                  </c:pt>
                  <c:pt idx="5">
                    <c:v>Week 21</c:v>
                  </c:pt>
                  <c:pt idx="6">
                    <c:v>Week 22</c:v>
                  </c:pt>
                  <c:pt idx="7">
                    <c:v>Week 23</c:v>
                  </c:pt>
                  <c:pt idx="8">
                    <c:v>Week 24</c:v>
                  </c:pt>
                  <c:pt idx="9">
                    <c:v>Week 25</c:v>
                  </c:pt>
                  <c:pt idx="10">
                    <c:v>Week 26</c:v>
                  </c:pt>
                  <c:pt idx="11">
                    <c:v>Week 27</c:v>
                  </c:pt>
                  <c:pt idx="12">
                    <c:v>Week 27</c:v>
                  </c:pt>
                  <c:pt idx="13">
                    <c:v>Week 28</c:v>
                  </c:pt>
                  <c:pt idx="14">
                    <c:v>Week 29</c:v>
                  </c:pt>
                  <c:pt idx="15">
                    <c:v>Week 30</c:v>
                  </c:pt>
                  <c:pt idx="16">
                    <c:v>Week 31</c:v>
                  </c:pt>
                  <c:pt idx="17">
                    <c:v>Week 32</c:v>
                  </c:pt>
                  <c:pt idx="18">
                    <c:v>Week 33</c:v>
                  </c:pt>
                  <c:pt idx="19">
                    <c:v>Week 34</c:v>
                  </c:pt>
                  <c:pt idx="20">
                    <c:v>Week 35</c:v>
                  </c:pt>
                  <c:pt idx="21">
                    <c:v>Week 36</c:v>
                  </c:pt>
                </c:lvl>
                <c:lvl>
                  <c:pt idx="0">
                    <c:v>July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August</c:v>
                  </c:pt>
                  <c:pt idx="4">
                    <c:v>August</c:v>
                  </c:pt>
                  <c:pt idx="5">
                    <c:v>August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September</c:v>
                  </c:pt>
                  <c:pt idx="9">
                    <c:v>September</c:v>
                  </c:pt>
                  <c:pt idx="10">
                    <c:v>September</c:v>
                  </c:pt>
                  <c:pt idx="11">
                    <c:v>September</c:v>
                  </c:pt>
                  <c:pt idx="12">
                    <c:v>October</c:v>
                  </c:pt>
                  <c:pt idx="13">
                    <c:v>October</c:v>
                  </c:pt>
                  <c:pt idx="14">
                    <c:v>October</c:v>
                  </c:pt>
                  <c:pt idx="15">
                    <c:v>October</c:v>
                  </c:pt>
                  <c:pt idx="16">
                    <c:v>October</c:v>
                  </c:pt>
                  <c:pt idx="17">
                    <c:v>November</c:v>
                  </c:pt>
                  <c:pt idx="18">
                    <c:v>November</c:v>
                  </c:pt>
                  <c:pt idx="19">
                    <c:v>November</c:v>
                  </c:pt>
                  <c:pt idx="20">
                    <c:v>November</c:v>
                  </c:pt>
                  <c:pt idx="21">
                    <c:v>November</c:v>
                  </c:pt>
                </c:lvl>
              </c:multiLvlStrCache>
            </c:multiLvlStrRef>
          </c:cat>
          <c:val>
            <c:numRef>
              <c:f>'S-Curve Baseline2 July-Nov 26'!$BU$11:$CP$11</c:f>
              <c:numCache>
                <c:formatCode>0.00%</c:formatCode>
                <c:ptCount val="22"/>
                <c:pt idx="0">
                  <c:v>0.61772954924874801</c:v>
                </c:pt>
                <c:pt idx="1">
                  <c:v>0.62040901502504164</c:v>
                </c:pt>
                <c:pt idx="2">
                  <c:v>0.62433222036727887</c:v>
                </c:pt>
                <c:pt idx="3">
                  <c:v>0.6275041736227045</c:v>
                </c:pt>
                <c:pt idx="4">
                  <c:v>0.63090150250417365</c:v>
                </c:pt>
                <c:pt idx="5">
                  <c:v>0.63941569282136901</c:v>
                </c:pt>
                <c:pt idx="6">
                  <c:v>0.65045075125208673</c:v>
                </c:pt>
                <c:pt idx="7">
                  <c:v>0.66049999999999998</c:v>
                </c:pt>
                <c:pt idx="8">
                  <c:v>0.66843906510851425</c:v>
                </c:pt>
                <c:pt idx="9">
                  <c:v>0.67532554257095156</c:v>
                </c:pt>
                <c:pt idx="10">
                  <c:v>0.68429849749582627</c:v>
                </c:pt>
                <c:pt idx="11">
                  <c:v>0.69</c:v>
                </c:pt>
                <c:pt idx="12">
                  <c:v>0.69597215397215395</c:v>
                </c:pt>
                <c:pt idx="13">
                  <c:v>0.70178624078624097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14-44A2-8DBA-C73AB79876DE}"/>
            </c:ext>
          </c:extLst>
        </c:ser>
        <c:ser>
          <c:idx val="1"/>
          <c:order val="5"/>
          <c:tx>
            <c:strRef>
              <c:f>'S-Curve Baseline2 July-Nov 26'!$A$12</c:f>
              <c:strCache>
                <c:ptCount val="1"/>
                <c:pt idx="0">
                  <c:v>Variance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rgbClr val="FF0000"/>
                </a:solidFill>
                <a:round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74-47ED-B177-8B675CAF485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74-47ED-B177-8B675CAF485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94-469F-8611-C3E8E629107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FD-45F0-AB60-EAA528C233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BA-40CF-8256-73112BA506A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00-4383-8D4B-86820FCA971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CB-4F69-8CA0-E436EC52E9E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C6-4550-AAA9-85F57BF9AC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11-4C79-8860-76BDB25CB17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14-4F0B-89B8-B9E6F412BA4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39-4D8A-86D1-7C072B58583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EC-4D88-A7AE-EDD2F10CC54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59-49FE-9D59-97BA0C7BE83F}"/>
                </c:ext>
              </c:extLst>
            </c:dLbl>
            <c:dLbl>
              <c:idx val="13"/>
              <c:layout>
                <c:manualLayout>
                  <c:x val="-3.0743817618478619E-2"/>
                  <c:y val="-0.105255847671186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B5-406C-8589-69FA75FA6247}"/>
                </c:ext>
              </c:extLst>
            </c:dLbl>
            <c:spPr>
              <a:solidFill>
                <a:srgbClr val="FF0000">
                  <a:alpha val="31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-78000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'S-Curve Baseline2 July-Nov 26'!$BU$3:$CP$4</c:f>
              <c:multiLvlStrCache>
                <c:ptCount val="22"/>
                <c:lvl>
                  <c:pt idx="0">
                    <c:v>Week 16</c:v>
                  </c:pt>
                  <c:pt idx="1">
                    <c:v>Week 17</c:v>
                  </c:pt>
                  <c:pt idx="2">
                    <c:v>Week 18</c:v>
                  </c:pt>
                  <c:pt idx="3">
                    <c:v>Week 19</c:v>
                  </c:pt>
                  <c:pt idx="4">
                    <c:v>Week 20</c:v>
                  </c:pt>
                  <c:pt idx="5">
                    <c:v>Week 21</c:v>
                  </c:pt>
                  <c:pt idx="6">
                    <c:v>Week 22</c:v>
                  </c:pt>
                  <c:pt idx="7">
                    <c:v>Week 23</c:v>
                  </c:pt>
                  <c:pt idx="8">
                    <c:v>Week 24</c:v>
                  </c:pt>
                  <c:pt idx="9">
                    <c:v>Week 25</c:v>
                  </c:pt>
                  <c:pt idx="10">
                    <c:v>Week 26</c:v>
                  </c:pt>
                  <c:pt idx="11">
                    <c:v>Week 27</c:v>
                  </c:pt>
                  <c:pt idx="12">
                    <c:v>Week 27</c:v>
                  </c:pt>
                  <c:pt idx="13">
                    <c:v>Week 28</c:v>
                  </c:pt>
                  <c:pt idx="14">
                    <c:v>Week 29</c:v>
                  </c:pt>
                  <c:pt idx="15">
                    <c:v>Week 30</c:v>
                  </c:pt>
                  <c:pt idx="16">
                    <c:v>Week 31</c:v>
                  </c:pt>
                  <c:pt idx="17">
                    <c:v>Week 32</c:v>
                  </c:pt>
                  <c:pt idx="18">
                    <c:v>Week 33</c:v>
                  </c:pt>
                  <c:pt idx="19">
                    <c:v>Week 34</c:v>
                  </c:pt>
                  <c:pt idx="20">
                    <c:v>Week 35</c:v>
                  </c:pt>
                  <c:pt idx="21">
                    <c:v>Week 36</c:v>
                  </c:pt>
                </c:lvl>
                <c:lvl>
                  <c:pt idx="0">
                    <c:v>July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August</c:v>
                  </c:pt>
                  <c:pt idx="4">
                    <c:v>August</c:v>
                  </c:pt>
                  <c:pt idx="5">
                    <c:v>August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September</c:v>
                  </c:pt>
                  <c:pt idx="9">
                    <c:v>September</c:v>
                  </c:pt>
                  <c:pt idx="10">
                    <c:v>September</c:v>
                  </c:pt>
                  <c:pt idx="11">
                    <c:v>September</c:v>
                  </c:pt>
                  <c:pt idx="12">
                    <c:v>October</c:v>
                  </c:pt>
                  <c:pt idx="13">
                    <c:v>October</c:v>
                  </c:pt>
                  <c:pt idx="14">
                    <c:v>October</c:v>
                  </c:pt>
                  <c:pt idx="15">
                    <c:v>October</c:v>
                  </c:pt>
                  <c:pt idx="16">
                    <c:v>October</c:v>
                  </c:pt>
                  <c:pt idx="17">
                    <c:v>November</c:v>
                  </c:pt>
                  <c:pt idx="18">
                    <c:v>November</c:v>
                  </c:pt>
                  <c:pt idx="19">
                    <c:v>November</c:v>
                  </c:pt>
                  <c:pt idx="20">
                    <c:v>November</c:v>
                  </c:pt>
                  <c:pt idx="21">
                    <c:v>November</c:v>
                  </c:pt>
                </c:lvl>
              </c:multiLvlStrCache>
            </c:multiLvlStrRef>
          </c:cat>
          <c:val>
            <c:numRef>
              <c:f>'S-Curve Baseline2 July-Nov 26'!$BU$12:$CP$12</c:f>
              <c:numCache>
                <c:formatCode>0.00%</c:formatCode>
                <c:ptCount val="22"/>
                <c:pt idx="0">
                  <c:v>0</c:v>
                </c:pt>
                <c:pt idx="1">
                  <c:v>3.8477143861117113E-2</c:v>
                </c:pt>
                <c:pt idx="2">
                  <c:v>8.4922488887430259E-2</c:v>
                </c:pt>
                <c:pt idx="3">
                  <c:v>0.13130008518155423</c:v>
                </c:pt>
                <c:pt idx="4">
                  <c:v>0.16885279725012603</c:v>
                </c:pt>
                <c:pt idx="5">
                  <c:v>0.19309863969296337</c:v>
                </c:pt>
                <c:pt idx="6">
                  <c:v>0.21146571066437525</c:v>
                </c:pt>
                <c:pt idx="7">
                  <c:v>0.22393898443898452</c:v>
                </c:pt>
                <c:pt idx="8">
                  <c:v>0.23057813390868465</c:v>
                </c:pt>
                <c:pt idx="9">
                  <c:v>0.23188166463625548</c:v>
                </c:pt>
                <c:pt idx="10">
                  <c:v>0.23347382027649144</c:v>
                </c:pt>
                <c:pt idx="11">
                  <c:v>0.23432432432432426</c:v>
                </c:pt>
                <c:pt idx="12">
                  <c:v>0.23162817362817356</c:v>
                </c:pt>
                <c:pt idx="13">
                  <c:v>0.2340040950040948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14-44A2-8DBA-C73AB79876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9151599"/>
        <c:axId val="589149519"/>
        <c:extLst/>
      </c:lineChart>
      <c:catAx>
        <c:axId val="58915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49519"/>
        <c:crosses val="autoZero"/>
        <c:auto val="1"/>
        <c:lblAlgn val="ctr"/>
        <c:lblOffset val="100"/>
        <c:noMultiLvlLbl val="0"/>
      </c:catAx>
      <c:valAx>
        <c:axId val="58914951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51599"/>
        <c:crosses val="autoZero"/>
        <c:crossBetween val="between"/>
      </c:valAx>
      <c:valAx>
        <c:axId val="1730107344"/>
        <c:scaling>
          <c:orientation val="minMax"/>
          <c:max val="0.2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100688"/>
        <c:crosses val="max"/>
        <c:crossBetween val="between"/>
      </c:valAx>
      <c:catAx>
        <c:axId val="17301006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301073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74306</xdr:colOff>
      <xdr:row>13</xdr:row>
      <xdr:rowOff>54428</xdr:rowOff>
    </xdr:from>
    <xdr:to>
      <xdr:col>69</xdr:col>
      <xdr:colOff>3266</xdr:colOff>
      <xdr:row>44</xdr:row>
      <xdr:rowOff>130628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376560F-D7C7-4542-8E01-3443A0DD0F88}"/>
            </a:ext>
          </a:extLst>
        </xdr:cNvPr>
        <xdr:cNvGrpSpPr/>
      </xdr:nvGrpSpPr>
      <xdr:grpSpPr>
        <a:xfrm>
          <a:off x="9022363" y="2177142"/>
          <a:ext cx="21983417" cy="5138057"/>
          <a:chOff x="1435020" y="1756557"/>
          <a:chExt cx="13819909" cy="506878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BC0717A-B890-4537-88CB-BBD540C90ACA}"/>
              </a:ext>
            </a:extLst>
          </xdr:cNvPr>
          <xdr:cNvGraphicFramePr/>
        </xdr:nvGraphicFramePr>
        <xdr:xfrm>
          <a:off x="1435020" y="1756557"/>
          <a:ext cx="13819909" cy="50687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6B655F76-7824-4E7E-844B-BF6861E61BE1}"/>
              </a:ext>
            </a:extLst>
          </xdr:cNvPr>
          <xdr:cNvSpPr/>
        </xdr:nvSpPr>
        <xdr:spPr>
          <a:xfrm>
            <a:off x="14689864" y="2150486"/>
            <a:ext cx="349133" cy="4343400"/>
          </a:xfrm>
          <a:prstGeom prst="roundRect">
            <a:avLst/>
          </a:prstGeom>
          <a:noFill/>
          <a:ln w="19050"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H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74306</xdr:colOff>
      <xdr:row>13</xdr:row>
      <xdr:rowOff>54428</xdr:rowOff>
    </xdr:from>
    <xdr:to>
      <xdr:col>69</xdr:col>
      <xdr:colOff>3266</xdr:colOff>
      <xdr:row>44</xdr:row>
      <xdr:rowOff>130628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8BEBAB7-4FB3-4C23-85DE-A87172080D7A}"/>
            </a:ext>
          </a:extLst>
        </xdr:cNvPr>
        <xdr:cNvGrpSpPr/>
      </xdr:nvGrpSpPr>
      <xdr:grpSpPr>
        <a:xfrm>
          <a:off x="9022363" y="2177142"/>
          <a:ext cx="21983417" cy="5138057"/>
          <a:chOff x="1435020" y="1756557"/>
          <a:chExt cx="13819909" cy="5068785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2BD0A9D-67C1-412E-BC08-DF7DFED1255F}"/>
              </a:ext>
            </a:extLst>
          </xdr:cNvPr>
          <xdr:cNvGraphicFramePr/>
        </xdr:nvGraphicFramePr>
        <xdr:xfrm>
          <a:off x="1435020" y="1756557"/>
          <a:ext cx="13819909" cy="50687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780C35B7-5021-4745-9C03-A4F62D7F6E42}"/>
              </a:ext>
            </a:extLst>
          </xdr:cNvPr>
          <xdr:cNvSpPr/>
        </xdr:nvSpPr>
        <xdr:spPr>
          <a:xfrm>
            <a:off x="14689864" y="2150486"/>
            <a:ext cx="349133" cy="4343400"/>
          </a:xfrm>
          <a:prstGeom prst="roundRect">
            <a:avLst/>
          </a:prstGeom>
          <a:noFill/>
          <a:ln w="19050"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H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498770</xdr:colOff>
      <xdr:row>15</xdr:row>
      <xdr:rowOff>14089</xdr:rowOff>
    </xdr:from>
    <xdr:to>
      <xdr:col>93</xdr:col>
      <xdr:colOff>555171</xdr:colOff>
      <xdr:row>45</xdr:row>
      <xdr:rowOff>40128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6C863-9547-4898-8E1E-0E3D98596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595745</xdr:colOff>
      <xdr:row>18</xdr:row>
      <xdr:rowOff>0</xdr:rowOff>
    </xdr:from>
    <xdr:to>
      <xdr:col>72</xdr:col>
      <xdr:colOff>581891</xdr:colOff>
      <xdr:row>43</xdr:row>
      <xdr:rowOff>13854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90534A1-7820-4CA5-AF72-81D9C65462E3}"/>
            </a:ext>
          </a:extLst>
        </xdr:cNvPr>
        <xdr:cNvSpPr/>
      </xdr:nvSpPr>
      <xdr:spPr>
        <a:xfrm>
          <a:off x="44459236" y="2826327"/>
          <a:ext cx="595746" cy="4170218"/>
        </a:xfrm>
        <a:prstGeom prst="roundRect">
          <a:avLst/>
        </a:prstGeom>
        <a:noFill/>
        <a:ln>
          <a:solidFill>
            <a:schemeClr val="accent6">
              <a:lumMod val="75000"/>
              <a:alpha val="98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>
            <a:noFill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498770</xdr:colOff>
      <xdr:row>15</xdr:row>
      <xdr:rowOff>14089</xdr:rowOff>
    </xdr:from>
    <xdr:to>
      <xdr:col>89</xdr:col>
      <xdr:colOff>27715</xdr:colOff>
      <xdr:row>45</xdr:row>
      <xdr:rowOff>40128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02B664-FC2C-4FA7-A203-5543251AD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46747</xdr:rowOff>
    </xdr:from>
    <xdr:to>
      <xdr:col>93</xdr:col>
      <xdr:colOff>468084</xdr:colOff>
      <xdr:row>44</xdr:row>
      <xdr:rowOff>72786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3E8EF-8026-4146-AD8D-474ACC729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77</xdr:col>
      <xdr:colOff>181887</xdr:colOff>
      <xdr:row>45</xdr:row>
      <xdr:rowOff>40134</xdr:rowOff>
    </xdr:from>
    <xdr:ext cx="5188665" cy="40543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FE14914-5966-41C4-9721-3AA0E648F980}"/>
            </a:ext>
          </a:extLst>
        </xdr:cNvPr>
        <xdr:cNvSpPr/>
      </xdr:nvSpPr>
      <xdr:spPr>
        <a:xfrm>
          <a:off x="4767742" y="7022825"/>
          <a:ext cx="5188665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PH" sz="2000"/>
            <a:t>Civil Works Availability and Manpower Shortage</a:t>
          </a:r>
          <a:endParaRPr lang="en-U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997D-46A0-4597-897D-82961E31763C}">
  <sheetPr>
    <tabColor rgb="FF00FF99"/>
  </sheetPr>
  <dimension ref="A1:BR29"/>
  <sheetViews>
    <sheetView topLeftCell="A3" zoomScale="70" zoomScaleNormal="70" workbookViewId="0">
      <pane xSplit="1" topLeftCell="B1" activePane="topRight" state="frozen"/>
      <selection pane="topRight" activeCell="B4" sqref="B4"/>
    </sheetView>
  </sheetViews>
  <sheetFormatPr defaultRowHeight="13.2" x14ac:dyDescent="0.25"/>
  <cols>
    <col min="1" max="1" width="19.77734375" bestFit="1" customWidth="1"/>
    <col min="2" max="18" width="6.5546875" style="10" customWidth="1"/>
    <col min="19" max="41" width="6.5546875" style="10" bestFit="1" customWidth="1"/>
    <col min="42" max="49" width="5.77734375" style="10" bestFit="1" customWidth="1"/>
    <col min="50" max="58" width="5.77734375" style="10" customWidth="1"/>
    <col min="59" max="68" width="6.77734375" customWidth="1"/>
    <col min="69" max="69" width="6.5546875" customWidth="1"/>
  </cols>
  <sheetData>
    <row r="1" spans="1:69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 t="s">
        <v>2</v>
      </c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69" x14ac:dyDescent="0.25">
      <c r="A2" s="1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6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 t="s">
        <v>7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x14ac:dyDescent="0.25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11</v>
      </c>
      <c r="K3" s="2" t="s">
        <v>11</v>
      </c>
      <c r="L3" s="2" t="s">
        <v>11</v>
      </c>
      <c r="M3" s="2" t="s">
        <v>11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13</v>
      </c>
      <c r="T3" s="2" t="s">
        <v>13</v>
      </c>
      <c r="U3" s="2" t="s">
        <v>13</v>
      </c>
      <c r="V3" s="2" t="s">
        <v>13</v>
      </c>
      <c r="W3" s="2" t="s">
        <v>14</v>
      </c>
      <c r="X3" s="2" t="s">
        <v>14</v>
      </c>
      <c r="Y3" s="2" t="s">
        <v>14</v>
      </c>
      <c r="Z3" s="2" t="s">
        <v>14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16</v>
      </c>
      <c r="AG3" s="2" t="s">
        <v>16</v>
      </c>
      <c r="AH3" s="2" t="s">
        <v>16</v>
      </c>
      <c r="AI3" s="2" t="s">
        <v>16</v>
      </c>
      <c r="AJ3" s="2" t="s">
        <v>17</v>
      </c>
      <c r="AK3" s="2" t="s">
        <v>17</v>
      </c>
      <c r="AL3" s="2" t="s">
        <v>17</v>
      </c>
      <c r="AM3" s="2" t="s">
        <v>17</v>
      </c>
      <c r="AN3" s="2" t="s">
        <v>17</v>
      </c>
      <c r="AO3" s="2" t="s">
        <v>18</v>
      </c>
      <c r="AP3" s="2" t="s">
        <v>18</v>
      </c>
      <c r="AQ3" s="2" t="s">
        <v>18</v>
      </c>
      <c r="AR3" s="2" t="s">
        <v>18</v>
      </c>
      <c r="AS3" s="2" t="s">
        <v>18</v>
      </c>
      <c r="AT3" s="2" t="s">
        <v>19</v>
      </c>
      <c r="AU3" s="2" t="s">
        <v>19</v>
      </c>
      <c r="AV3" s="2" t="s">
        <v>19</v>
      </c>
      <c r="AW3" s="2" t="s">
        <v>19</v>
      </c>
      <c r="AX3" s="2" t="s">
        <v>76</v>
      </c>
      <c r="AY3" s="24" t="s">
        <v>76</v>
      </c>
      <c r="AZ3" s="24" t="s">
        <v>76</v>
      </c>
      <c r="BA3" s="24" t="s">
        <v>76</v>
      </c>
      <c r="BB3" s="24" t="s">
        <v>76</v>
      </c>
      <c r="BC3" s="24" t="s">
        <v>9</v>
      </c>
      <c r="BD3" s="24" t="s">
        <v>9</v>
      </c>
      <c r="BE3" s="24" t="s">
        <v>9</v>
      </c>
      <c r="BF3" s="24" t="s">
        <v>9</v>
      </c>
      <c r="BG3" s="24" t="s">
        <v>10</v>
      </c>
      <c r="BH3" s="24" t="s">
        <v>10</v>
      </c>
      <c r="BI3" s="24" t="s">
        <v>10</v>
      </c>
      <c r="BJ3" s="24" t="s">
        <v>10</v>
      </c>
      <c r="BK3" s="24" t="s">
        <v>89</v>
      </c>
      <c r="BL3" s="24" t="s">
        <v>89</v>
      </c>
      <c r="BM3" s="24" t="s">
        <v>89</v>
      </c>
      <c r="BN3" s="24" t="s">
        <v>89</v>
      </c>
      <c r="BO3" s="24" t="s">
        <v>93</v>
      </c>
      <c r="BP3" s="24" t="s">
        <v>93</v>
      </c>
      <c r="BQ3" s="24" t="s">
        <v>93</v>
      </c>
    </row>
    <row r="4" spans="1:69" x14ac:dyDescent="0.25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44</v>
      </c>
      <c r="Z4" s="3" t="s">
        <v>45</v>
      </c>
      <c r="AA4" s="3" t="s">
        <v>46</v>
      </c>
      <c r="AB4" s="3" t="s">
        <v>47</v>
      </c>
      <c r="AC4" s="3" t="s">
        <v>48</v>
      </c>
      <c r="AD4" s="3" t="s">
        <v>49</v>
      </c>
      <c r="AE4" s="3" t="s">
        <v>50</v>
      </c>
      <c r="AF4" s="3" t="s">
        <v>51</v>
      </c>
      <c r="AG4" s="3" t="s">
        <v>52</v>
      </c>
      <c r="AH4" s="3" t="s">
        <v>53</v>
      </c>
      <c r="AI4" s="3" t="s">
        <v>54</v>
      </c>
      <c r="AJ4" s="3" t="s">
        <v>55</v>
      </c>
      <c r="AK4" s="3" t="s">
        <v>56</v>
      </c>
      <c r="AL4" s="3" t="s">
        <v>57</v>
      </c>
      <c r="AM4" s="3" t="s">
        <v>58</v>
      </c>
      <c r="AN4" s="3" t="s">
        <v>59</v>
      </c>
      <c r="AO4" s="3" t="s">
        <v>60</v>
      </c>
      <c r="AP4" s="3" t="s">
        <v>61</v>
      </c>
      <c r="AQ4" s="3" t="s">
        <v>62</v>
      </c>
      <c r="AR4" s="3" t="s">
        <v>63</v>
      </c>
      <c r="AS4" s="3" t="s">
        <v>64</v>
      </c>
      <c r="AT4" s="3" t="s">
        <v>65</v>
      </c>
      <c r="AU4" s="3" t="s">
        <v>66</v>
      </c>
      <c r="AV4" s="3" t="s">
        <v>67</v>
      </c>
      <c r="AW4" s="3" t="s">
        <v>68</v>
      </c>
      <c r="AX4" s="3" t="s">
        <v>69</v>
      </c>
      <c r="AY4" s="3" t="s">
        <v>77</v>
      </c>
      <c r="AZ4" s="3" t="s">
        <v>78</v>
      </c>
      <c r="BA4" s="3" t="s">
        <v>79</v>
      </c>
      <c r="BB4" s="3" t="s">
        <v>80</v>
      </c>
      <c r="BC4" s="3" t="s">
        <v>81</v>
      </c>
      <c r="BD4" s="3" t="s">
        <v>82</v>
      </c>
      <c r="BE4" s="3" t="s">
        <v>83</v>
      </c>
      <c r="BF4" s="3" t="s">
        <v>84</v>
      </c>
      <c r="BG4" s="3" t="s">
        <v>85</v>
      </c>
      <c r="BH4" s="3" t="s">
        <v>86</v>
      </c>
      <c r="BI4" s="3" t="s">
        <v>87</v>
      </c>
      <c r="BJ4" s="3" t="s">
        <v>88</v>
      </c>
      <c r="BK4" s="3" t="s">
        <v>90</v>
      </c>
      <c r="BL4" s="3" t="s">
        <v>91</v>
      </c>
      <c r="BM4" s="3" t="s">
        <v>92</v>
      </c>
      <c r="BN4" s="3" t="s">
        <v>94</v>
      </c>
      <c r="BO4" s="3" t="s">
        <v>95</v>
      </c>
      <c r="BP4" s="3" t="s">
        <v>96</v>
      </c>
      <c r="BQ4" s="3" t="s">
        <v>96</v>
      </c>
    </row>
    <row r="5" spans="1:69" x14ac:dyDescent="0.25">
      <c r="A5" s="1" t="s">
        <v>70</v>
      </c>
      <c r="B5" s="4">
        <f>B7</f>
        <v>2.9215358931552588E-3</v>
      </c>
      <c r="C5" s="4">
        <f t="shared" ref="C5:AW6" si="0">C7-B7</f>
        <v>4.1736227045075132E-3</v>
      </c>
      <c r="D5" s="4">
        <f t="shared" si="0"/>
        <v>4.1736227045075123E-3</v>
      </c>
      <c r="E5" s="4">
        <f t="shared" si="0"/>
        <v>4.1736227045075132E-3</v>
      </c>
      <c r="F5" s="4">
        <f t="shared" si="0"/>
        <v>4.1736227045075132E-3</v>
      </c>
      <c r="G5" s="4">
        <f t="shared" si="0"/>
        <v>4.1736227045075097E-3</v>
      </c>
      <c r="H5" s="4">
        <f t="shared" si="0"/>
        <v>4.1736227045075132E-3</v>
      </c>
      <c r="I5" s="4">
        <f t="shared" si="0"/>
        <v>4.1736227045075167E-3</v>
      </c>
      <c r="J5" s="4">
        <f t="shared" si="0"/>
        <v>4.1736227045075097E-3</v>
      </c>
      <c r="K5" s="4">
        <f t="shared" si="0"/>
        <v>4.1736227045075097E-3</v>
      </c>
      <c r="L5" s="4">
        <f t="shared" si="0"/>
        <v>4.1736227045075167E-3</v>
      </c>
      <c r="M5" s="4">
        <f t="shared" si="0"/>
        <v>4.1736227045075097E-3</v>
      </c>
      <c r="N5" s="4">
        <f t="shared" si="0"/>
        <v>6.3126043405676152E-3</v>
      </c>
      <c r="O5" s="4">
        <f t="shared" si="0"/>
        <v>6.5734557595993337E-3</v>
      </c>
      <c r="P5" s="4">
        <f t="shared" si="0"/>
        <v>4.9040066777963215E-3</v>
      </c>
      <c r="Q5" s="4">
        <f t="shared" si="0"/>
        <v>6.5734557595993337E-3</v>
      </c>
      <c r="R5" s="4">
        <f t="shared" si="0"/>
        <v>6.5734557595993337E-3</v>
      </c>
      <c r="S5" s="4">
        <f t="shared" si="0"/>
        <v>6.5734557595993337E-3</v>
      </c>
      <c r="T5" s="4">
        <f t="shared" si="0"/>
        <v>6.3647746243739589E-3</v>
      </c>
      <c r="U5" s="4">
        <f t="shared" si="0"/>
        <v>2.5980801335559259E-2</v>
      </c>
      <c r="V5" s="4">
        <f t="shared" si="0"/>
        <v>2.0607262103505844E-2</v>
      </c>
      <c r="W5" s="4">
        <f t="shared" si="0"/>
        <v>1.9720367278798001E-2</v>
      </c>
      <c r="X5" s="4">
        <f t="shared" si="0"/>
        <v>1.9563856427378956E-2</v>
      </c>
      <c r="Y5" s="4">
        <f t="shared" si="0"/>
        <v>1.9720367278798001E-2</v>
      </c>
      <c r="Z5" s="4">
        <f t="shared" si="0"/>
        <v>1.9720367278798001E-2</v>
      </c>
      <c r="AA5" s="4">
        <f t="shared" si="0"/>
        <v>1.9720367278798001E-2</v>
      </c>
      <c r="AB5" s="4">
        <f t="shared" si="0"/>
        <v>1.9720367278797973E-2</v>
      </c>
      <c r="AC5" s="4">
        <f t="shared" si="0"/>
        <v>1.7998747913188673E-2</v>
      </c>
      <c r="AD5" s="4">
        <f t="shared" si="0"/>
        <v>1.9407345575959911E-2</v>
      </c>
      <c r="AE5" s="4">
        <f t="shared" si="0"/>
        <v>1.9720367278798001E-2</v>
      </c>
      <c r="AF5" s="4">
        <f t="shared" si="0"/>
        <v>1.9720367278798001E-2</v>
      </c>
      <c r="AG5" s="4">
        <f t="shared" si="0"/>
        <v>1.9720367278798001E-2</v>
      </c>
      <c r="AH5" s="4">
        <f t="shared" si="0"/>
        <v>1.9720367278798001E-2</v>
      </c>
      <c r="AI5" s="4">
        <f t="shared" si="0"/>
        <v>1.9720367278798001E-2</v>
      </c>
      <c r="AJ5" s="4">
        <f t="shared" si="0"/>
        <v>1.9720367278798001E-2</v>
      </c>
      <c r="AK5" s="4">
        <f t="shared" si="0"/>
        <v>1.9720367278798001E-2</v>
      </c>
      <c r="AL5" s="4">
        <f t="shared" si="0"/>
        <v>6.3752086811352249E-2</v>
      </c>
      <c r="AM5" s="4">
        <f t="shared" si="0"/>
        <v>6.6204090150250416E-2</v>
      </c>
      <c r="AN5" s="4">
        <f t="shared" si="0"/>
        <v>4.3823038397328817E-2</v>
      </c>
      <c r="AO5" s="4">
        <f t="shared" si="0"/>
        <v>3.8710350584307274E-2</v>
      </c>
      <c r="AP5" s="4">
        <f t="shared" si="0"/>
        <v>6.5786727879799667E-2</v>
      </c>
      <c r="AQ5" s="4">
        <f t="shared" si="0"/>
        <v>6.5056343906510827E-2</v>
      </c>
      <c r="AR5" s="4">
        <f t="shared" si="0"/>
        <v>6.1560934891485841E-2</v>
      </c>
      <c r="AS5" s="4">
        <f t="shared" si="0"/>
        <v>5.2118113522537479E-2</v>
      </c>
      <c r="AT5" s="4">
        <f t="shared" si="0"/>
        <v>3.9179883138564353E-2</v>
      </c>
      <c r="AU5" s="4">
        <f t="shared" si="0"/>
        <v>2.8380634390651083E-2</v>
      </c>
      <c r="AV5" s="4">
        <f t="shared" si="0"/>
        <v>2.2068030050083398E-2</v>
      </c>
      <c r="AW5" s="4">
        <f t="shared" si="0"/>
        <v>1.7529215358931594E-2</v>
      </c>
      <c r="AX5" s="4">
        <f>AX7-AW7</f>
        <v>2.9215358931552471E-3</v>
      </c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</row>
    <row r="6" spans="1:69" x14ac:dyDescent="0.25">
      <c r="A6" s="1" t="s">
        <v>71</v>
      </c>
      <c r="B6" s="4">
        <f>B8</f>
        <v>2.9215358931552588E-3</v>
      </c>
      <c r="C6" s="4">
        <f t="shared" si="0"/>
        <v>4.1736227045075132E-3</v>
      </c>
      <c r="D6" s="4">
        <f t="shared" si="0"/>
        <v>4.1736227045075123E-3</v>
      </c>
      <c r="E6" s="4">
        <f t="shared" si="0"/>
        <v>4.1736227045075132E-3</v>
      </c>
      <c r="F6" s="4">
        <f t="shared" si="0"/>
        <v>4.1736227045075132E-3</v>
      </c>
      <c r="G6" s="4">
        <f t="shared" si="0"/>
        <v>4.1736227045075097E-3</v>
      </c>
      <c r="H6" s="4">
        <f t="shared" si="0"/>
        <v>4.1736227045075132E-3</v>
      </c>
      <c r="I6" s="4">
        <f t="shared" si="0"/>
        <v>4.1736227045075167E-3</v>
      </c>
      <c r="J6" s="4">
        <f t="shared" si="0"/>
        <v>4.1736227045075097E-3</v>
      </c>
      <c r="K6" s="4">
        <f t="shared" si="0"/>
        <v>4.1736227045075097E-3</v>
      </c>
      <c r="L6" s="4">
        <f t="shared" si="0"/>
        <v>4.1736227045075167E-3</v>
      </c>
      <c r="M6" s="4">
        <f t="shared" si="0"/>
        <v>4.1736227045075097E-3</v>
      </c>
      <c r="N6" s="4">
        <f t="shared" si="0"/>
        <v>6.3126043405676152E-3</v>
      </c>
      <c r="O6" s="4">
        <f t="shared" si="0"/>
        <v>6.5734557595993337E-3</v>
      </c>
      <c r="P6" s="4">
        <f t="shared" si="0"/>
        <v>4.9040066777963215E-3</v>
      </c>
      <c r="Q6" s="4">
        <f t="shared" si="0"/>
        <v>6.5734557595993337E-3</v>
      </c>
      <c r="R6" s="4">
        <f t="shared" si="0"/>
        <v>6.5734557595993337E-3</v>
      </c>
      <c r="S6" s="25">
        <f t="shared" si="0"/>
        <v>7.8777128547579262E-3</v>
      </c>
      <c r="T6" s="25">
        <f t="shared" si="0"/>
        <v>1.6277128547579345E-3</v>
      </c>
      <c r="U6" s="25">
        <f t="shared" si="0"/>
        <v>4.632721202003337E-3</v>
      </c>
      <c r="V6" s="25">
        <f t="shared" si="0"/>
        <v>5.0083472454090089E-3</v>
      </c>
      <c r="W6" s="25">
        <f t="shared" si="0"/>
        <v>5.6761268781302249E-3</v>
      </c>
      <c r="X6" s="25">
        <f t="shared" si="0"/>
        <v>1.0016694490817962E-3</v>
      </c>
      <c r="Y6" s="25">
        <f t="shared" si="0"/>
        <v>2.399833055091824E-3</v>
      </c>
      <c r="Z6" s="25">
        <f t="shared" si="0"/>
        <v>2.6919866444073404E-3</v>
      </c>
      <c r="AA6" s="25">
        <f t="shared" si="0"/>
        <v>1.4816360601001693E-3</v>
      </c>
      <c r="AB6" s="25">
        <f t="shared" si="0"/>
        <v>2.0868113522537618E-3</v>
      </c>
      <c r="AC6" s="25">
        <f t="shared" si="0"/>
        <v>1.043405676126874E-3</v>
      </c>
      <c r="AD6" s="25">
        <f t="shared" si="0"/>
        <v>2.6085141903171988E-3</v>
      </c>
      <c r="AE6" s="25">
        <f t="shared" si="0"/>
        <v>1.2520868113522488E-3</v>
      </c>
      <c r="AF6" s="25">
        <f t="shared" si="0"/>
        <v>8.3472454090151305E-4</v>
      </c>
      <c r="AG6" s="25">
        <f t="shared" si="0"/>
        <v>4.6953255425709467E-3</v>
      </c>
      <c r="AH6" s="25">
        <f t="shared" si="0"/>
        <v>1.9720367278798001E-2</v>
      </c>
      <c r="AI6" s="25">
        <f t="shared" si="0"/>
        <v>9.3489148580968018E-3</v>
      </c>
      <c r="AJ6" s="25">
        <f t="shared" si="0"/>
        <v>1.1936560565943249E-2</v>
      </c>
      <c r="AK6" s="25">
        <f t="shared" si="0"/>
        <v>1.4482471153589305E-2</v>
      </c>
      <c r="AL6" s="25">
        <f t="shared" si="0"/>
        <v>9.6828046744574514E-3</v>
      </c>
      <c r="AM6" s="25">
        <f t="shared" si="0"/>
        <v>2.9632721202003387E-3</v>
      </c>
      <c r="AN6" s="25">
        <f t="shared" si="0"/>
        <v>2.9632721202003109E-3</v>
      </c>
      <c r="AO6" s="25">
        <f t="shared" si="0"/>
        <v>1.1769616026711227E-2</v>
      </c>
      <c r="AP6" s="25">
        <f t="shared" si="0"/>
        <v>2.9173622704507518E-2</v>
      </c>
      <c r="AQ6" s="25">
        <f t="shared" si="0"/>
        <v>8.7228714524206219E-3</v>
      </c>
      <c r="AR6" s="25">
        <f t="shared" si="0"/>
        <v>4.0667779632721224E-2</v>
      </c>
      <c r="AS6" s="25">
        <f t="shared" si="0"/>
        <v>1.653589315525883E-2</v>
      </c>
      <c r="AT6" s="25">
        <f t="shared" si="0"/>
        <v>1.3973288814691176E-2</v>
      </c>
      <c r="AU6" s="25">
        <f t="shared" si="0"/>
        <v>1.8313856427378927E-2</v>
      </c>
      <c r="AV6" s="25">
        <f t="shared" si="0"/>
        <v>1.0000000000000564E-3</v>
      </c>
      <c r="AW6" s="25">
        <f t="shared" si="0"/>
        <v>1.2731218697829727E-2</v>
      </c>
      <c r="AX6" s="25">
        <f t="shared" ref="AX6:BJ6" si="1">AX8-AW8</f>
        <v>2.2954924874791283E-2</v>
      </c>
      <c r="AY6" s="25">
        <f t="shared" si="1"/>
        <v>8.3722871452420189E-3</v>
      </c>
      <c r="AZ6" s="25">
        <f t="shared" si="1"/>
        <v>1.0000000000000009E-2</v>
      </c>
      <c r="BA6" s="25">
        <f t="shared" si="1"/>
        <v>1.0000000000000009E-2</v>
      </c>
      <c r="BB6" s="25">
        <f t="shared" si="1"/>
        <v>5.9868959868960014E-3</v>
      </c>
      <c r="BC6" s="25">
        <f t="shared" si="1"/>
        <v>3.9931301008095554E-2</v>
      </c>
      <c r="BD6" s="25">
        <f t="shared" si="1"/>
        <v>4.2378964941569397E-2</v>
      </c>
      <c r="BE6" s="25">
        <f t="shared" si="1"/>
        <v>3.262938230383966E-2</v>
      </c>
      <c r="BF6" s="25">
        <f t="shared" si="1"/>
        <v>7.879799759599404E-3</v>
      </c>
      <c r="BG6" s="25">
        <f t="shared" si="1"/>
        <v>1.3722871358931577E-2</v>
      </c>
      <c r="BH6" s="25">
        <f t="shared" si="1"/>
        <v>1.0041736227045073E-2</v>
      </c>
      <c r="BI6" s="25">
        <f t="shared" si="1"/>
        <v>1.1661101836394017E-2</v>
      </c>
      <c r="BJ6" s="25">
        <f t="shared" si="1"/>
        <v>7.3038395776292564E-3</v>
      </c>
      <c r="BK6" s="25">
        <f>BK8-BJ8</f>
        <v>7.8464108397328092E-3</v>
      </c>
      <c r="BL6" s="25">
        <f t="shared" ref="BL6:BQ6" si="2">BL8-BK8</f>
        <v>1.0617696160267198E-2</v>
      </c>
      <c r="BM6" s="25">
        <f t="shared" si="2"/>
        <v>5.2003340000000842E-3</v>
      </c>
      <c r="BN6" s="25">
        <f t="shared" si="2"/>
        <v>3.0050079999999202E-3</v>
      </c>
      <c r="BO6" s="25">
        <f t="shared" si="2"/>
        <v>1.1427379202003429E-2</v>
      </c>
      <c r="BP6" s="25">
        <f t="shared" si="2"/>
        <v>3.0884808013356135E-3</v>
      </c>
      <c r="BQ6" s="25">
        <f t="shared" si="2"/>
        <v>5.008347245408995E-3</v>
      </c>
    </row>
    <row r="7" spans="1:69" s="8" customFormat="1" x14ac:dyDescent="0.25">
      <c r="A7" s="5" t="s">
        <v>72</v>
      </c>
      <c r="B7" s="6">
        <v>2.9215358931552588E-3</v>
      </c>
      <c r="C7" s="6">
        <v>7.0951585976627716E-3</v>
      </c>
      <c r="D7" s="6">
        <v>1.1268781302170284E-2</v>
      </c>
      <c r="E7" s="6">
        <v>1.5442404006677797E-2</v>
      </c>
      <c r="F7" s="6">
        <v>1.961602671118531E-2</v>
      </c>
      <c r="G7" s="6">
        <v>2.378964941569282E-2</v>
      </c>
      <c r="H7" s="6">
        <v>2.7963272120200333E-2</v>
      </c>
      <c r="I7" s="6">
        <v>3.213689482470785E-2</v>
      </c>
      <c r="J7" s="6">
        <v>3.631051752921536E-2</v>
      </c>
      <c r="K7" s="6">
        <v>4.0484140233722869E-2</v>
      </c>
      <c r="L7" s="6">
        <v>4.4657762938230386E-2</v>
      </c>
      <c r="M7" s="6">
        <v>4.8831385642737896E-2</v>
      </c>
      <c r="N7" s="6">
        <v>5.5143989983305511E-2</v>
      </c>
      <c r="O7" s="6">
        <v>6.1717445742904845E-2</v>
      </c>
      <c r="P7" s="6">
        <v>6.6621452420701166E-2</v>
      </c>
      <c r="Q7" s="6">
        <v>7.31949081803005E-2</v>
      </c>
      <c r="R7" s="6">
        <v>7.9768363939899833E-2</v>
      </c>
      <c r="S7" s="6">
        <v>8.6341819699499167E-2</v>
      </c>
      <c r="T7" s="6">
        <v>9.2706594323873126E-2</v>
      </c>
      <c r="U7" s="6">
        <v>0.11868739565943238</v>
      </c>
      <c r="V7" s="6">
        <v>0.13929465776293823</v>
      </c>
      <c r="W7" s="6">
        <v>0.15901502504173623</v>
      </c>
      <c r="X7" s="6">
        <v>0.17857888146911519</v>
      </c>
      <c r="Y7" s="6">
        <v>0.19829924874791319</v>
      </c>
      <c r="Z7" s="6">
        <v>0.21801961602671119</v>
      </c>
      <c r="AA7" s="6">
        <v>0.23773998330550919</v>
      </c>
      <c r="AB7" s="6">
        <v>0.25746035058430716</v>
      </c>
      <c r="AC7" s="6">
        <v>0.27545909849749584</v>
      </c>
      <c r="AD7" s="6">
        <v>0.29486644407345575</v>
      </c>
      <c r="AE7" s="6">
        <v>0.31458681135225375</v>
      </c>
      <c r="AF7" s="6">
        <v>0.33430717863105175</v>
      </c>
      <c r="AG7" s="6">
        <v>0.35402754590984975</v>
      </c>
      <c r="AH7" s="6">
        <v>0.37374791318864775</v>
      </c>
      <c r="AI7" s="6">
        <v>0.39346828046744575</v>
      </c>
      <c r="AJ7" s="7">
        <v>0.41318864774624375</v>
      </c>
      <c r="AK7" s="7">
        <v>0.43290901502504175</v>
      </c>
      <c r="AL7" s="7">
        <v>0.496661101836394</v>
      </c>
      <c r="AM7" s="7">
        <v>0.56286519198664442</v>
      </c>
      <c r="AN7" s="7">
        <v>0.60668823038397324</v>
      </c>
      <c r="AO7" s="7">
        <v>0.64539858096828051</v>
      </c>
      <c r="AP7" s="7">
        <v>0.71118530884808018</v>
      </c>
      <c r="AQ7" s="7">
        <v>0.776241652754591</v>
      </c>
      <c r="AR7" s="7">
        <v>0.83780258764607685</v>
      </c>
      <c r="AS7" s="7">
        <v>0.88992070116861433</v>
      </c>
      <c r="AT7" s="7">
        <v>0.92910058430717868</v>
      </c>
      <c r="AU7" s="7">
        <v>0.95748121869782976</v>
      </c>
      <c r="AV7" s="7">
        <v>0.97954924874791316</v>
      </c>
      <c r="AW7" s="7">
        <v>0.99707846410684475</v>
      </c>
      <c r="AX7" s="7">
        <v>1</v>
      </c>
      <c r="AY7" s="7">
        <v>1</v>
      </c>
      <c r="AZ7" s="7">
        <v>1</v>
      </c>
      <c r="BA7" s="7">
        <v>1</v>
      </c>
      <c r="BB7" s="7">
        <v>1</v>
      </c>
      <c r="BC7" s="7">
        <v>1</v>
      </c>
      <c r="BD7" s="7">
        <v>1</v>
      </c>
      <c r="BE7" s="7">
        <v>1</v>
      </c>
      <c r="BF7" s="7">
        <v>1</v>
      </c>
      <c r="BG7" s="7">
        <v>1</v>
      </c>
      <c r="BH7" s="7">
        <v>1</v>
      </c>
      <c r="BI7" s="7">
        <v>1</v>
      </c>
      <c r="BJ7" s="7">
        <v>1</v>
      </c>
      <c r="BK7" s="7">
        <v>1</v>
      </c>
      <c r="BL7" s="7">
        <v>1</v>
      </c>
      <c r="BM7" s="7">
        <v>1</v>
      </c>
      <c r="BN7" s="7">
        <v>1</v>
      </c>
      <c r="BO7" s="7">
        <v>1</v>
      </c>
      <c r="BP7" s="7">
        <v>1</v>
      </c>
      <c r="BQ7" s="7">
        <v>1</v>
      </c>
    </row>
    <row r="8" spans="1:69" x14ac:dyDescent="0.25">
      <c r="A8" s="1" t="s">
        <v>73</v>
      </c>
      <c r="B8" s="6">
        <v>2.9215358931552588E-3</v>
      </c>
      <c r="C8" s="6">
        <v>7.0951585976627716E-3</v>
      </c>
      <c r="D8" s="6">
        <v>1.1268781302170284E-2</v>
      </c>
      <c r="E8" s="6">
        <v>1.5442404006677797E-2</v>
      </c>
      <c r="F8" s="6">
        <v>1.961602671118531E-2</v>
      </c>
      <c r="G8" s="6">
        <v>2.378964941569282E-2</v>
      </c>
      <c r="H8" s="6">
        <v>2.7963272120200333E-2</v>
      </c>
      <c r="I8" s="6">
        <v>3.213689482470785E-2</v>
      </c>
      <c r="J8" s="6">
        <v>3.631051752921536E-2</v>
      </c>
      <c r="K8" s="6">
        <v>4.0484140233722869E-2</v>
      </c>
      <c r="L8" s="6">
        <v>4.4657762938230386E-2</v>
      </c>
      <c r="M8" s="6">
        <v>4.8831385642737896E-2</v>
      </c>
      <c r="N8" s="6">
        <v>5.5143989983305511E-2</v>
      </c>
      <c r="O8" s="6">
        <v>6.1717445742904845E-2</v>
      </c>
      <c r="P8" s="6">
        <v>6.6621452420701166E-2</v>
      </c>
      <c r="Q8" s="6">
        <v>7.31949081803005E-2</v>
      </c>
      <c r="R8" s="6">
        <v>7.9768363939899833E-2</v>
      </c>
      <c r="S8" s="6">
        <v>8.764607679465776E-2</v>
      </c>
      <c r="T8" s="6">
        <v>8.9273789649415694E-2</v>
      </c>
      <c r="U8" s="6">
        <v>9.3906510851419031E-2</v>
      </c>
      <c r="V8" s="6">
        <v>9.891485809682804E-2</v>
      </c>
      <c r="W8" s="6">
        <v>0.10459098497495826</v>
      </c>
      <c r="X8" s="6">
        <v>0.10559265442404006</v>
      </c>
      <c r="Y8" s="6">
        <v>0.10799248747913189</v>
      </c>
      <c r="Z8" s="6">
        <v>0.11068447412353923</v>
      </c>
      <c r="AA8" s="6">
        <v>0.11216611018363939</v>
      </c>
      <c r="AB8" s="6">
        <v>0.11425292153589316</v>
      </c>
      <c r="AC8" s="6">
        <v>0.11529632721202003</v>
      </c>
      <c r="AD8" s="6">
        <v>0.11790484140233723</v>
      </c>
      <c r="AE8" s="6">
        <v>0.11915692821368948</v>
      </c>
      <c r="AF8" s="6">
        <v>0.11999165275459099</v>
      </c>
      <c r="AG8" s="6">
        <v>0.12468697829716194</v>
      </c>
      <c r="AH8" s="6">
        <v>0.14440734557595994</v>
      </c>
      <c r="AI8" s="6">
        <v>0.15375626043405674</v>
      </c>
      <c r="AJ8" s="13">
        <v>0.16569282099999999</v>
      </c>
      <c r="AK8" s="6">
        <v>0.18017529215358929</v>
      </c>
      <c r="AL8" s="6">
        <v>0.18985809682804675</v>
      </c>
      <c r="AM8" s="6">
        <v>0.19282136894824708</v>
      </c>
      <c r="AN8" s="6">
        <v>0.1957846410684474</v>
      </c>
      <c r="AO8" s="6">
        <v>0.20755425709515862</v>
      </c>
      <c r="AP8" s="6">
        <v>0.23672787979966614</v>
      </c>
      <c r="AQ8" s="6">
        <v>0.24545075125208676</v>
      </c>
      <c r="AR8" s="6">
        <v>0.28611853088480799</v>
      </c>
      <c r="AS8" s="6">
        <v>0.30265442404006682</v>
      </c>
      <c r="AT8" s="6">
        <v>0.31662771285475799</v>
      </c>
      <c r="AU8" s="6">
        <v>0.33494156928213692</v>
      </c>
      <c r="AV8" s="6">
        <v>0.33594156928213698</v>
      </c>
      <c r="AW8" s="6">
        <v>0.3486727879799667</v>
      </c>
      <c r="AX8" s="6">
        <v>0.37162771285475799</v>
      </c>
      <c r="AY8" s="6">
        <v>0.38</v>
      </c>
      <c r="AZ8" s="6">
        <v>0.39</v>
      </c>
      <c r="BA8" s="6">
        <v>0.4</v>
      </c>
      <c r="BB8" s="6">
        <v>0.40598689598689602</v>
      </c>
      <c r="BC8" s="6">
        <v>0.44591819699499158</v>
      </c>
      <c r="BD8" s="6">
        <v>0.48829716193656098</v>
      </c>
      <c r="BE8" s="6">
        <v>0.52092654424040064</v>
      </c>
      <c r="BF8" s="6">
        <v>0.52880634400000004</v>
      </c>
      <c r="BG8" s="6">
        <v>0.54252921535893162</v>
      </c>
      <c r="BH8" s="6">
        <v>0.55257095158597669</v>
      </c>
      <c r="BI8" s="6">
        <v>0.56423205342237071</v>
      </c>
      <c r="BJ8" s="6">
        <v>0.57153589299999996</v>
      </c>
      <c r="BK8" s="6">
        <v>0.57938230383973277</v>
      </c>
      <c r="BL8" s="6">
        <v>0.59</v>
      </c>
      <c r="BM8" s="27">
        <v>0.59520033400000005</v>
      </c>
      <c r="BN8" s="27">
        <v>0.59820534199999997</v>
      </c>
      <c r="BO8" s="27">
        <v>0.6096327212020034</v>
      </c>
      <c r="BP8" s="27">
        <v>0.61272120200333902</v>
      </c>
      <c r="BQ8" s="28">
        <v>0.61772954924874801</v>
      </c>
    </row>
    <row r="9" spans="1:69" x14ac:dyDescent="0.25">
      <c r="A9" s="1" t="s">
        <v>74</v>
      </c>
      <c r="B9" s="6">
        <f>B7-B8</f>
        <v>0</v>
      </c>
      <c r="C9" s="6">
        <f t="shared" ref="C9:BA9" si="3">C7-C8</f>
        <v>0</v>
      </c>
      <c r="D9" s="6">
        <f t="shared" si="3"/>
        <v>0</v>
      </c>
      <c r="E9" s="6">
        <f t="shared" si="3"/>
        <v>0</v>
      </c>
      <c r="F9" s="6">
        <f t="shared" si="3"/>
        <v>0</v>
      </c>
      <c r="G9" s="6">
        <f t="shared" si="3"/>
        <v>0</v>
      </c>
      <c r="H9" s="6">
        <f t="shared" si="3"/>
        <v>0</v>
      </c>
      <c r="I9" s="6">
        <f t="shared" si="3"/>
        <v>0</v>
      </c>
      <c r="J9" s="6">
        <f t="shared" si="3"/>
        <v>0</v>
      </c>
      <c r="K9" s="6">
        <f t="shared" si="3"/>
        <v>0</v>
      </c>
      <c r="L9" s="6">
        <f t="shared" si="3"/>
        <v>0</v>
      </c>
      <c r="M9" s="6">
        <f t="shared" si="3"/>
        <v>0</v>
      </c>
      <c r="N9" s="6">
        <f t="shared" si="3"/>
        <v>0</v>
      </c>
      <c r="O9" s="6">
        <f t="shared" si="3"/>
        <v>0</v>
      </c>
      <c r="P9" s="6">
        <f t="shared" si="3"/>
        <v>0</v>
      </c>
      <c r="Q9" s="6">
        <f t="shared" si="3"/>
        <v>0</v>
      </c>
      <c r="R9" s="6">
        <f t="shared" si="3"/>
        <v>0</v>
      </c>
      <c r="S9" s="6">
        <f t="shared" si="3"/>
        <v>-1.3042570951585924E-3</v>
      </c>
      <c r="T9" s="6">
        <f t="shared" si="3"/>
        <v>3.432804674457432E-3</v>
      </c>
      <c r="U9" s="6">
        <f t="shared" si="3"/>
        <v>2.4780884808013354E-2</v>
      </c>
      <c r="V9" s="6">
        <f t="shared" si="3"/>
        <v>4.0379799666110189E-2</v>
      </c>
      <c r="W9" s="6">
        <f t="shared" si="3"/>
        <v>5.4424040066777965E-2</v>
      </c>
      <c r="X9" s="6">
        <f t="shared" si="3"/>
        <v>7.2986227045075125E-2</v>
      </c>
      <c r="Y9" s="6">
        <f t="shared" si="3"/>
        <v>9.0306761268781302E-2</v>
      </c>
      <c r="Z9" s="6">
        <f t="shared" si="3"/>
        <v>0.10733514190317196</v>
      </c>
      <c r="AA9" s="6">
        <f t="shared" si="3"/>
        <v>0.12557387312186979</v>
      </c>
      <c r="AB9" s="6">
        <f t="shared" si="3"/>
        <v>0.14320742904841399</v>
      </c>
      <c r="AC9" s="6">
        <f t="shared" si="3"/>
        <v>0.16016277128547579</v>
      </c>
      <c r="AD9" s="6">
        <f t="shared" si="3"/>
        <v>0.17696160267111852</v>
      </c>
      <c r="AE9" s="6">
        <f t="shared" si="3"/>
        <v>0.19542988313856427</v>
      </c>
      <c r="AF9" s="6">
        <f t="shared" si="3"/>
        <v>0.21431552587646074</v>
      </c>
      <c r="AG9" s="6">
        <f t="shared" si="3"/>
        <v>0.22934056761268781</v>
      </c>
      <c r="AH9" s="6">
        <f t="shared" si="3"/>
        <v>0.22934056761268781</v>
      </c>
      <c r="AI9" s="6">
        <f t="shared" si="3"/>
        <v>0.23971202003338901</v>
      </c>
      <c r="AJ9" s="6">
        <f t="shared" si="3"/>
        <v>0.24749582674624376</v>
      </c>
      <c r="AK9" s="6">
        <f t="shared" si="3"/>
        <v>0.25273372287145246</v>
      </c>
      <c r="AL9" s="6">
        <f t="shared" si="3"/>
        <v>0.30680300500834723</v>
      </c>
      <c r="AM9" s="6">
        <f t="shared" si="3"/>
        <v>0.37004382303839733</v>
      </c>
      <c r="AN9" s="6">
        <f t="shared" si="3"/>
        <v>0.41090358931552584</v>
      </c>
      <c r="AO9" s="6">
        <f t="shared" si="3"/>
        <v>0.43784432387312189</v>
      </c>
      <c r="AP9" s="6">
        <f t="shared" si="3"/>
        <v>0.47445742904841404</v>
      </c>
      <c r="AQ9" s="6">
        <f t="shared" si="3"/>
        <v>0.5307909015025043</v>
      </c>
      <c r="AR9" s="6">
        <f t="shared" si="3"/>
        <v>0.55168405676126886</v>
      </c>
      <c r="AS9" s="6">
        <f t="shared" si="3"/>
        <v>0.58726627712854751</v>
      </c>
      <c r="AT9" s="6">
        <f t="shared" si="3"/>
        <v>0.61247287145242069</v>
      </c>
      <c r="AU9" s="6">
        <f t="shared" si="3"/>
        <v>0.62253964941569284</v>
      </c>
      <c r="AV9" s="6">
        <f t="shared" si="3"/>
        <v>0.64360767946577613</v>
      </c>
      <c r="AW9" s="6">
        <f t="shared" si="3"/>
        <v>0.64840567612687805</v>
      </c>
      <c r="AX9" s="6">
        <f t="shared" si="3"/>
        <v>0.62837228714524196</v>
      </c>
      <c r="AY9" s="6">
        <f t="shared" si="3"/>
        <v>0.62</v>
      </c>
      <c r="AZ9" s="6">
        <f t="shared" si="3"/>
        <v>0.61</v>
      </c>
      <c r="BA9" s="6">
        <f t="shared" si="3"/>
        <v>0.6</v>
      </c>
      <c r="BB9" s="6">
        <v>0.59401310401310403</v>
      </c>
      <c r="BC9" s="6">
        <f t="shared" ref="BC9:BG9" si="4">BC7-BC8</f>
        <v>0.55408180300500842</v>
      </c>
      <c r="BD9" s="6">
        <f t="shared" si="4"/>
        <v>0.51170283806343897</v>
      </c>
      <c r="BE9" s="6">
        <f t="shared" si="4"/>
        <v>0.47907345575959936</v>
      </c>
      <c r="BF9" s="6">
        <f t="shared" si="4"/>
        <v>0.47119365599999996</v>
      </c>
      <c r="BG9" s="6">
        <f t="shared" si="4"/>
        <v>0.45747078464106838</v>
      </c>
      <c r="BH9" s="6"/>
      <c r="BI9" s="6">
        <f t="shared" ref="BI9" si="5">BI7-BI8</f>
        <v>0.43576794657762929</v>
      </c>
      <c r="BJ9" s="20"/>
      <c r="BK9" s="20"/>
      <c r="BL9" s="20"/>
      <c r="BM9" s="20"/>
      <c r="BN9" s="20"/>
      <c r="BO9" s="20"/>
      <c r="BP9" s="20"/>
    </row>
    <row r="10" spans="1:69" x14ac:dyDescent="0.25">
      <c r="A10" s="1" t="s">
        <v>75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9"/>
      <c r="AI10" s="7"/>
      <c r="AJ10" s="6"/>
      <c r="AK10" s="6"/>
      <c r="AL10" s="6"/>
      <c r="AM10" s="6"/>
      <c r="AN10" s="6"/>
      <c r="AO10" s="6"/>
      <c r="AP10" s="6"/>
      <c r="AQ10" s="6"/>
      <c r="AR10" s="7"/>
      <c r="AS10" s="7"/>
      <c r="AT10" s="6"/>
      <c r="AU10" s="7"/>
      <c r="AV10" s="6"/>
      <c r="AW10" s="7"/>
      <c r="AX10" s="6"/>
      <c r="AY10" s="6"/>
      <c r="AZ10" s="6"/>
      <c r="BA10" s="6"/>
      <c r="BB10" s="6"/>
      <c r="BC10" s="6"/>
      <c r="BD10" s="6"/>
      <c r="BE10" s="6"/>
      <c r="BF10" s="6"/>
      <c r="BG10" s="14"/>
      <c r="BH10" s="14"/>
      <c r="BI10" s="14"/>
      <c r="BJ10" s="26"/>
      <c r="BK10" s="26"/>
      <c r="BL10" s="26"/>
      <c r="BM10" s="26"/>
      <c r="BN10" s="26"/>
      <c r="BO10" s="26"/>
      <c r="BP10" s="26"/>
    </row>
    <row r="11" spans="1:69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9"/>
      <c r="AJ11" s="20"/>
      <c r="AK11" s="20"/>
      <c r="AL11" s="20"/>
      <c r="AM11" s="20"/>
      <c r="AN11" s="20"/>
      <c r="AO11" s="20"/>
      <c r="AP11" s="20"/>
      <c r="AQ11" s="20"/>
      <c r="AR11" s="19"/>
      <c r="AS11" s="19"/>
      <c r="AT11" s="20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</row>
    <row r="12" spans="1:69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8"/>
      <c r="AI12" s="19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19"/>
      <c r="AX12" s="19"/>
      <c r="AY12" s="19"/>
      <c r="AZ12" s="19"/>
      <c r="BA12" s="19"/>
      <c r="BB12" s="19"/>
      <c r="BC12" s="19"/>
      <c r="BD12" s="19"/>
      <c r="BE12" s="19"/>
      <c r="BF12" s="19"/>
    </row>
    <row r="13" spans="1:69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8"/>
      <c r="AI13" s="19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</row>
    <row r="14" spans="1:69" x14ac:dyDescent="0.25">
      <c r="BG14" s="12"/>
      <c r="BH14" s="12"/>
      <c r="BI14" s="12"/>
      <c r="BJ14" s="12"/>
      <c r="BK14" s="12"/>
      <c r="BL14" s="12"/>
      <c r="BM14" s="12"/>
      <c r="BN14" s="12"/>
      <c r="BO14" s="12"/>
      <c r="BP14" s="12"/>
    </row>
    <row r="15" spans="1:69" x14ac:dyDescent="0.25">
      <c r="AI15" s="11"/>
      <c r="AJ15" s="11"/>
      <c r="AK15" s="15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69" x14ac:dyDescent="0.25">
      <c r="AH16" s="11"/>
      <c r="AI16" s="12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26" spans="69:70" x14ac:dyDescent="0.25">
      <c r="BR26" s="22"/>
    </row>
    <row r="29" spans="69:70" x14ac:dyDescent="0.25">
      <c r="BQ29" s="2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9D30-AF97-4528-86BE-404359C12BB3}">
  <dimension ref="A1:BR29"/>
  <sheetViews>
    <sheetView topLeftCell="A4" zoomScale="70" zoomScaleNormal="70" workbookViewId="0">
      <pane xSplit="1" topLeftCell="AM1" activePane="topRight" state="frozen"/>
      <selection pane="topRight" activeCell="D6" sqref="D6"/>
    </sheetView>
  </sheetViews>
  <sheetFormatPr defaultRowHeight="13.2" x14ac:dyDescent="0.25"/>
  <cols>
    <col min="1" max="1" width="19.77734375" bestFit="1" customWidth="1"/>
    <col min="2" max="18" width="6.5546875" style="10" customWidth="1"/>
    <col min="19" max="41" width="6.5546875" style="10" bestFit="1" customWidth="1"/>
    <col min="42" max="49" width="5.77734375" style="10" bestFit="1" customWidth="1"/>
    <col min="50" max="58" width="5.77734375" style="10" customWidth="1"/>
    <col min="59" max="68" width="6.77734375" customWidth="1"/>
    <col min="69" max="69" width="6.5546875" customWidth="1"/>
  </cols>
  <sheetData>
    <row r="1" spans="1:69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 t="s">
        <v>2</v>
      </c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69" x14ac:dyDescent="0.25">
      <c r="A2" s="1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6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 t="s">
        <v>7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x14ac:dyDescent="0.25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11</v>
      </c>
      <c r="K3" s="2" t="s">
        <v>11</v>
      </c>
      <c r="L3" s="2" t="s">
        <v>11</v>
      </c>
      <c r="M3" s="2" t="s">
        <v>11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13</v>
      </c>
      <c r="T3" s="2" t="s">
        <v>13</v>
      </c>
      <c r="U3" s="2" t="s">
        <v>13</v>
      </c>
      <c r="V3" s="2" t="s">
        <v>13</v>
      </c>
      <c r="W3" s="2" t="s">
        <v>14</v>
      </c>
      <c r="X3" s="2" t="s">
        <v>14</v>
      </c>
      <c r="Y3" s="2" t="s">
        <v>14</v>
      </c>
      <c r="Z3" s="2" t="s">
        <v>14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16</v>
      </c>
      <c r="AG3" s="2" t="s">
        <v>16</v>
      </c>
      <c r="AH3" s="2" t="s">
        <v>16</v>
      </c>
      <c r="AI3" s="2" t="s">
        <v>16</v>
      </c>
      <c r="AJ3" s="2" t="s">
        <v>17</v>
      </c>
      <c r="AK3" s="2" t="s">
        <v>17</v>
      </c>
      <c r="AL3" s="2" t="s">
        <v>17</v>
      </c>
      <c r="AM3" s="2" t="s">
        <v>17</v>
      </c>
      <c r="AN3" s="2" t="s">
        <v>17</v>
      </c>
      <c r="AO3" s="2" t="s">
        <v>18</v>
      </c>
      <c r="AP3" s="2" t="s">
        <v>18</v>
      </c>
      <c r="AQ3" s="2" t="s">
        <v>18</v>
      </c>
      <c r="AR3" s="2" t="s">
        <v>18</v>
      </c>
      <c r="AS3" s="2" t="s">
        <v>18</v>
      </c>
      <c r="AT3" s="2" t="s">
        <v>19</v>
      </c>
      <c r="AU3" s="2" t="s">
        <v>19</v>
      </c>
      <c r="AV3" s="2" t="s">
        <v>19</v>
      </c>
      <c r="AW3" s="2" t="s">
        <v>19</v>
      </c>
      <c r="AX3" s="2" t="s">
        <v>76</v>
      </c>
      <c r="AY3" s="24" t="s">
        <v>76</v>
      </c>
      <c r="AZ3" s="24" t="s">
        <v>76</v>
      </c>
      <c r="BA3" s="24" t="s">
        <v>76</v>
      </c>
      <c r="BB3" s="24" t="s">
        <v>76</v>
      </c>
      <c r="BC3" s="24" t="s">
        <v>9</v>
      </c>
      <c r="BD3" s="24" t="s">
        <v>9</v>
      </c>
      <c r="BE3" s="24" t="s">
        <v>9</v>
      </c>
      <c r="BF3" s="24" t="s">
        <v>9</v>
      </c>
      <c r="BG3" s="24" t="s">
        <v>10</v>
      </c>
      <c r="BH3" s="24" t="s">
        <v>10</v>
      </c>
      <c r="BI3" s="24" t="s">
        <v>10</v>
      </c>
      <c r="BJ3" s="24" t="s">
        <v>10</v>
      </c>
      <c r="BK3" s="24" t="s">
        <v>89</v>
      </c>
      <c r="BL3" s="24" t="s">
        <v>89</v>
      </c>
      <c r="BM3" s="24" t="s">
        <v>89</v>
      </c>
      <c r="BN3" s="24" t="s">
        <v>89</v>
      </c>
      <c r="BO3" s="24" t="s">
        <v>93</v>
      </c>
      <c r="BP3" s="24" t="s">
        <v>93</v>
      </c>
      <c r="BQ3" s="24" t="s">
        <v>93</v>
      </c>
    </row>
    <row r="4" spans="1:69" x14ac:dyDescent="0.25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44</v>
      </c>
      <c r="Z4" s="3" t="s">
        <v>45</v>
      </c>
      <c r="AA4" s="3" t="s">
        <v>46</v>
      </c>
      <c r="AB4" s="3" t="s">
        <v>47</v>
      </c>
      <c r="AC4" s="3" t="s">
        <v>48</v>
      </c>
      <c r="AD4" s="3" t="s">
        <v>49</v>
      </c>
      <c r="AE4" s="3" t="s">
        <v>50</v>
      </c>
      <c r="AF4" s="3" t="s">
        <v>51</v>
      </c>
      <c r="AG4" s="3" t="s">
        <v>52</v>
      </c>
      <c r="AH4" s="3" t="s">
        <v>53</v>
      </c>
      <c r="AI4" s="3" t="s">
        <v>54</v>
      </c>
      <c r="AJ4" s="3" t="s">
        <v>55</v>
      </c>
      <c r="AK4" s="3" t="s">
        <v>56</v>
      </c>
      <c r="AL4" s="3" t="s">
        <v>57</v>
      </c>
      <c r="AM4" s="3" t="s">
        <v>58</v>
      </c>
      <c r="AN4" s="3" t="s">
        <v>59</v>
      </c>
      <c r="AO4" s="3" t="s">
        <v>60</v>
      </c>
      <c r="AP4" s="3" t="s">
        <v>61</v>
      </c>
      <c r="AQ4" s="3" t="s">
        <v>62</v>
      </c>
      <c r="AR4" s="3" t="s">
        <v>63</v>
      </c>
      <c r="AS4" s="3" t="s">
        <v>64</v>
      </c>
      <c r="AT4" s="3" t="s">
        <v>65</v>
      </c>
      <c r="AU4" s="3" t="s">
        <v>66</v>
      </c>
      <c r="AV4" s="3" t="s">
        <v>67</v>
      </c>
      <c r="AW4" s="3" t="s">
        <v>68</v>
      </c>
      <c r="AX4" s="3" t="s">
        <v>69</v>
      </c>
      <c r="AY4" s="3" t="s">
        <v>77</v>
      </c>
      <c r="AZ4" s="3" t="s">
        <v>78</v>
      </c>
      <c r="BA4" s="3" t="s">
        <v>79</v>
      </c>
      <c r="BB4" s="3" t="s">
        <v>80</v>
      </c>
      <c r="BC4" s="3" t="s">
        <v>81</v>
      </c>
      <c r="BD4" s="3" t="s">
        <v>82</v>
      </c>
      <c r="BE4" s="3" t="s">
        <v>83</v>
      </c>
      <c r="BF4" s="3" t="s">
        <v>84</v>
      </c>
      <c r="BG4" s="3" t="s">
        <v>85</v>
      </c>
      <c r="BH4" s="3" t="s">
        <v>86</v>
      </c>
      <c r="BI4" s="3" t="s">
        <v>87</v>
      </c>
      <c r="BJ4" s="3" t="s">
        <v>88</v>
      </c>
      <c r="BK4" s="3" t="s">
        <v>90</v>
      </c>
      <c r="BL4" s="3" t="s">
        <v>91</v>
      </c>
      <c r="BM4" s="3" t="s">
        <v>92</v>
      </c>
      <c r="BN4" s="3" t="s">
        <v>94</v>
      </c>
      <c r="BO4" s="3" t="s">
        <v>95</v>
      </c>
      <c r="BP4" s="3" t="s">
        <v>96</v>
      </c>
      <c r="BQ4" s="3" t="s">
        <v>96</v>
      </c>
    </row>
    <row r="5" spans="1:69" x14ac:dyDescent="0.25">
      <c r="A5" s="1" t="s">
        <v>70</v>
      </c>
      <c r="B5" s="4">
        <f>B7</f>
        <v>2.9215358931552588E-3</v>
      </c>
      <c r="C5" s="4">
        <f t="shared" ref="C5:AW6" si="0">C7-B7</f>
        <v>4.1736227045075132E-3</v>
      </c>
      <c r="D5" s="4">
        <f t="shared" si="0"/>
        <v>4.1736227045075123E-3</v>
      </c>
      <c r="E5" s="4">
        <f t="shared" si="0"/>
        <v>4.1736227045075132E-3</v>
      </c>
      <c r="F5" s="4">
        <f t="shared" si="0"/>
        <v>4.1736227045075132E-3</v>
      </c>
      <c r="G5" s="4">
        <f t="shared" si="0"/>
        <v>4.1736227045075097E-3</v>
      </c>
      <c r="H5" s="4">
        <f t="shared" si="0"/>
        <v>4.1736227045075132E-3</v>
      </c>
      <c r="I5" s="4">
        <f t="shared" si="0"/>
        <v>4.1736227045075167E-3</v>
      </c>
      <c r="J5" s="4">
        <f t="shared" si="0"/>
        <v>4.1736227045075097E-3</v>
      </c>
      <c r="K5" s="4">
        <f t="shared" si="0"/>
        <v>4.1736227045075097E-3</v>
      </c>
      <c r="L5" s="4">
        <f t="shared" si="0"/>
        <v>4.1736227045075167E-3</v>
      </c>
      <c r="M5" s="4">
        <f t="shared" si="0"/>
        <v>4.1736227045075097E-3</v>
      </c>
      <c r="N5" s="4">
        <f t="shared" si="0"/>
        <v>6.3126043405676152E-3</v>
      </c>
      <c r="O5" s="4">
        <f t="shared" si="0"/>
        <v>6.5734557595993337E-3</v>
      </c>
      <c r="P5" s="4">
        <f t="shared" si="0"/>
        <v>4.9040066777963215E-3</v>
      </c>
      <c r="Q5" s="4">
        <f t="shared" si="0"/>
        <v>6.5734557595993337E-3</v>
      </c>
      <c r="R5" s="4">
        <f t="shared" si="0"/>
        <v>6.5734557595993337E-3</v>
      </c>
      <c r="S5" s="4">
        <f t="shared" si="0"/>
        <v>6.5734557595993337E-3</v>
      </c>
      <c r="T5" s="4">
        <f t="shared" si="0"/>
        <v>6.3647746243739589E-3</v>
      </c>
      <c r="U5" s="4">
        <f t="shared" si="0"/>
        <v>2.5980801335559259E-2</v>
      </c>
      <c r="V5" s="4">
        <f t="shared" si="0"/>
        <v>2.0607262103505844E-2</v>
      </c>
      <c r="W5" s="4">
        <f t="shared" si="0"/>
        <v>1.9720367278798001E-2</v>
      </c>
      <c r="X5" s="4">
        <f t="shared" si="0"/>
        <v>1.9563856427378956E-2</v>
      </c>
      <c r="Y5" s="4">
        <f t="shared" si="0"/>
        <v>1.9720367278798001E-2</v>
      </c>
      <c r="Z5" s="4">
        <f t="shared" si="0"/>
        <v>1.9720367278798001E-2</v>
      </c>
      <c r="AA5" s="4">
        <f t="shared" si="0"/>
        <v>1.9720367278798001E-2</v>
      </c>
      <c r="AB5" s="4">
        <f t="shared" si="0"/>
        <v>1.9720367278797973E-2</v>
      </c>
      <c r="AC5" s="4">
        <f t="shared" si="0"/>
        <v>1.7998747913188673E-2</v>
      </c>
      <c r="AD5" s="4">
        <f t="shared" si="0"/>
        <v>1.9407345575959911E-2</v>
      </c>
      <c r="AE5" s="4">
        <f t="shared" si="0"/>
        <v>1.9720367278798001E-2</v>
      </c>
      <c r="AF5" s="4">
        <f t="shared" si="0"/>
        <v>1.9720367278798001E-2</v>
      </c>
      <c r="AG5" s="4">
        <f t="shared" si="0"/>
        <v>1.9720367278798001E-2</v>
      </c>
      <c r="AH5" s="4">
        <f t="shared" si="0"/>
        <v>1.9720367278798001E-2</v>
      </c>
      <c r="AI5" s="4">
        <f t="shared" si="0"/>
        <v>1.9720367278798001E-2</v>
      </c>
      <c r="AJ5" s="4">
        <f t="shared" si="0"/>
        <v>1.9720367278798001E-2</v>
      </c>
      <c r="AK5" s="4">
        <f t="shared" si="0"/>
        <v>1.9720367278798001E-2</v>
      </c>
      <c r="AL5" s="4">
        <f t="shared" si="0"/>
        <v>6.3752086811352249E-2</v>
      </c>
      <c r="AM5" s="4">
        <f t="shared" si="0"/>
        <v>6.6204090150250416E-2</v>
      </c>
      <c r="AN5" s="4">
        <f t="shared" si="0"/>
        <v>4.3823038397328817E-2</v>
      </c>
      <c r="AO5" s="4">
        <f t="shared" si="0"/>
        <v>3.8710350584307274E-2</v>
      </c>
      <c r="AP5" s="4">
        <f t="shared" si="0"/>
        <v>6.5786727879799667E-2</v>
      </c>
      <c r="AQ5" s="4">
        <f t="shared" si="0"/>
        <v>6.5056343906510827E-2</v>
      </c>
      <c r="AR5" s="4">
        <f t="shared" si="0"/>
        <v>6.1560934891485841E-2</v>
      </c>
      <c r="AS5" s="4">
        <f t="shared" si="0"/>
        <v>5.2118113522537479E-2</v>
      </c>
      <c r="AT5" s="4">
        <f t="shared" si="0"/>
        <v>3.9179883138564353E-2</v>
      </c>
      <c r="AU5" s="4">
        <f t="shared" si="0"/>
        <v>2.8380634390651083E-2</v>
      </c>
      <c r="AV5" s="4">
        <f t="shared" si="0"/>
        <v>2.2068030050083398E-2</v>
      </c>
      <c r="AW5" s="4">
        <f t="shared" si="0"/>
        <v>1.7529215358931594E-2</v>
      </c>
      <c r="AX5" s="4">
        <f>AX7-AW7</f>
        <v>2.9215358931552471E-3</v>
      </c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</row>
    <row r="6" spans="1:69" x14ac:dyDescent="0.25">
      <c r="A6" s="1" t="s">
        <v>71</v>
      </c>
      <c r="B6" s="4">
        <f>B8</f>
        <v>2.9215358931552588E-3</v>
      </c>
      <c r="C6" s="4">
        <f t="shared" si="0"/>
        <v>4.1736227045075132E-3</v>
      </c>
      <c r="D6" s="4">
        <f t="shared" si="0"/>
        <v>4.1736227045075123E-3</v>
      </c>
      <c r="E6" s="4">
        <f t="shared" si="0"/>
        <v>4.1736227045075132E-3</v>
      </c>
      <c r="F6" s="4">
        <f t="shared" si="0"/>
        <v>4.1736227045075132E-3</v>
      </c>
      <c r="G6" s="4">
        <f t="shared" si="0"/>
        <v>4.1736227045075097E-3</v>
      </c>
      <c r="H6" s="4">
        <f t="shared" si="0"/>
        <v>4.1736227045075132E-3</v>
      </c>
      <c r="I6" s="4">
        <f t="shared" si="0"/>
        <v>4.1736227045075167E-3</v>
      </c>
      <c r="J6" s="4">
        <f t="shared" si="0"/>
        <v>4.1736227045075097E-3</v>
      </c>
      <c r="K6" s="4">
        <f t="shared" si="0"/>
        <v>4.1736227045075097E-3</v>
      </c>
      <c r="L6" s="4">
        <f t="shared" si="0"/>
        <v>4.1736227045075167E-3</v>
      </c>
      <c r="M6" s="4">
        <f t="shared" si="0"/>
        <v>4.1736227045075097E-3</v>
      </c>
      <c r="N6" s="4">
        <f t="shared" si="0"/>
        <v>6.3126043405676152E-3</v>
      </c>
      <c r="O6" s="4">
        <f t="shared" si="0"/>
        <v>6.5734557595993337E-3</v>
      </c>
      <c r="P6" s="4">
        <f t="shared" si="0"/>
        <v>4.9040066777963215E-3</v>
      </c>
      <c r="Q6" s="4">
        <f t="shared" si="0"/>
        <v>6.5734557595993337E-3</v>
      </c>
      <c r="R6" s="4">
        <f t="shared" si="0"/>
        <v>6.5734557595993337E-3</v>
      </c>
      <c r="S6" s="25">
        <f t="shared" si="0"/>
        <v>7.8777128547579262E-3</v>
      </c>
      <c r="T6" s="25">
        <f t="shared" si="0"/>
        <v>1.6277128547579345E-3</v>
      </c>
      <c r="U6" s="25">
        <f t="shared" ref="U6" si="1">U8-T8</f>
        <v>4.632721202003337E-3</v>
      </c>
      <c r="V6" s="25">
        <f t="shared" ref="V6" si="2">V8-U8</f>
        <v>5.0083472454090089E-3</v>
      </c>
      <c r="W6" s="25">
        <f t="shared" ref="W6" si="3">W8-V8</f>
        <v>5.6761268781302249E-3</v>
      </c>
      <c r="X6" s="25">
        <f t="shared" ref="X6" si="4">X8-W8</f>
        <v>1.0016694490817962E-3</v>
      </c>
      <c r="Y6" s="25">
        <f t="shared" ref="Y6" si="5">Y8-X8</f>
        <v>2.399833055091824E-3</v>
      </c>
      <c r="Z6" s="25">
        <f t="shared" ref="Z6" si="6">Z8-Y8</f>
        <v>2.6919866444073404E-3</v>
      </c>
      <c r="AA6" s="25">
        <f t="shared" ref="AA6" si="7">AA8-Z8</f>
        <v>1.4816360601001693E-3</v>
      </c>
      <c r="AB6" s="25">
        <f t="shared" ref="AB6" si="8">AB8-AA8</f>
        <v>2.0868113522537618E-3</v>
      </c>
      <c r="AC6" s="25">
        <f t="shared" ref="AC6" si="9">AC8-AB8</f>
        <v>1.043405676126874E-3</v>
      </c>
      <c r="AD6" s="25">
        <f t="shared" ref="AD6" si="10">AD8-AC8</f>
        <v>2.6085141903171988E-3</v>
      </c>
      <c r="AE6" s="25">
        <f t="shared" ref="AE6" si="11">AE8-AD8</f>
        <v>1.2520868113522488E-3</v>
      </c>
      <c r="AF6" s="25">
        <f t="shared" ref="AF6" si="12">AF8-AE8</f>
        <v>8.3472454090151305E-4</v>
      </c>
      <c r="AG6" s="25">
        <f t="shared" ref="AG6" si="13">AG8-AF8</f>
        <v>4.6953255425709467E-3</v>
      </c>
      <c r="AH6" s="25">
        <f t="shared" ref="AH6" si="14">AH8-AG8</f>
        <v>1.9720367278798001E-2</v>
      </c>
      <c r="AI6" s="25">
        <f t="shared" ref="AI6" si="15">AI8-AH8</f>
        <v>9.3489148580968018E-3</v>
      </c>
      <c r="AJ6" s="25">
        <f t="shared" ref="AJ6" si="16">AJ8-AI8</f>
        <v>1.1936560565943249E-2</v>
      </c>
      <c r="AK6" s="25">
        <f t="shared" ref="AK6" si="17">AK8-AJ8</f>
        <v>1.4482471153589305E-2</v>
      </c>
      <c r="AL6" s="25">
        <f t="shared" ref="AL6" si="18">AL8-AK8</f>
        <v>9.6828046744574514E-3</v>
      </c>
      <c r="AM6" s="25">
        <f t="shared" ref="AM6" si="19">AM8-AL8</f>
        <v>2.9632721202003387E-3</v>
      </c>
      <c r="AN6" s="25">
        <f t="shared" ref="AN6" si="20">AN8-AM8</f>
        <v>2.9632721202003109E-3</v>
      </c>
      <c r="AO6" s="25">
        <f t="shared" ref="AO6" si="21">AO8-AN8</f>
        <v>1.1769616026711227E-2</v>
      </c>
      <c r="AP6" s="25">
        <f t="shared" ref="AP6" si="22">AP8-AO8</f>
        <v>2.9173622704507518E-2</v>
      </c>
      <c r="AQ6" s="25">
        <f t="shared" ref="AQ6" si="23">AQ8-AP8</f>
        <v>8.7228714524206219E-3</v>
      </c>
      <c r="AR6" s="25">
        <f t="shared" ref="AR6" si="24">AR8-AQ8</f>
        <v>4.0667779632721224E-2</v>
      </c>
      <c r="AS6" s="25">
        <f t="shared" ref="AS6" si="25">AS8-AR8</f>
        <v>1.653589315525883E-2</v>
      </c>
      <c r="AT6" s="25">
        <f t="shared" ref="AT6" si="26">AT8-AS8</f>
        <v>1.3973288814691176E-2</v>
      </c>
      <c r="AU6" s="25">
        <f t="shared" ref="AU6" si="27">AU8-AT8</f>
        <v>1.8313856427378927E-2</v>
      </c>
      <c r="AV6" s="25">
        <f t="shared" ref="AV6" si="28">AV8-AU8</f>
        <v>1.0000000000000564E-3</v>
      </c>
      <c r="AW6" s="25">
        <f t="shared" ref="AW6" si="29">AW8-AV8</f>
        <v>1.2731218697829727E-2</v>
      </c>
      <c r="AX6" s="25">
        <f t="shared" ref="AX6" si="30">AX8-AW8</f>
        <v>2.2954924874791283E-2</v>
      </c>
      <c r="AY6" s="25">
        <f t="shared" ref="AY6" si="31">AY8-AX8</f>
        <v>8.3722871452420189E-3</v>
      </c>
      <c r="AZ6" s="25">
        <f t="shared" ref="AZ6" si="32">AZ8-AY8</f>
        <v>1.0000000000000009E-2</v>
      </c>
      <c r="BA6" s="25">
        <f t="shared" ref="BA6" si="33">BA8-AZ8</f>
        <v>1.0000000000000009E-2</v>
      </c>
      <c r="BB6" s="25">
        <f t="shared" ref="BB6" si="34">BB8-BA8</f>
        <v>5.9868959868960014E-3</v>
      </c>
      <c r="BC6" s="25">
        <f t="shared" ref="BC6" si="35">BC8-BB8</f>
        <v>3.9931301008095554E-2</v>
      </c>
      <c r="BD6" s="25">
        <f t="shared" ref="BD6" si="36">BD8-BC8</f>
        <v>4.2378964941569397E-2</v>
      </c>
      <c r="BE6" s="25">
        <f t="shared" ref="BE6" si="37">BE8-BD8</f>
        <v>3.262938230383966E-2</v>
      </c>
      <c r="BF6" s="25">
        <f t="shared" ref="BF6" si="38">BF8-BE8</f>
        <v>7.879799759599404E-3</v>
      </c>
      <c r="BG6" s="25">
        <f t="shared" ref="BG6" si="39">BG8-BF8</f>
        <v>1.3722871358931577E-2</v>
      </c>
      <c r="BH6" s="25">
        <f t="shared" ref="BH6" si="40">BH8-BG8</f>
        <v>1.0041736227045073E-2</v>
      </c>
      <c r="BI6" s="25">
        <f t="shared" ref="BI6" si="41">BI8-BH8</f>
        <v>1.1661101836394017E-2</v>
      </c>
      <c r="BJ6" s="25">
        <f t="shared" ref="BJ6" si="42">BJ8-BI8</f>
        <v>7.3038395776292564E-3</v>
      </c>
      <c r="BK6" s="25">
        <f>BK8-BJ8</f>
        <v>7.8464108397328092E-3</v>
      </c>
      <c r="BL6" s="25">
        <f t="shared" ref="BL6:BM6" si="43">BL8-BK8</f>
        <v>1.0617696160267198E-2</v>
      </c>
      <c r="BM6" s="25">
        <f t="shared" si="43"/>
        <v>5.2003340000000842E-3</v>
      </c>
      <c r="BN6" s="25">
        <f t="shared" ref="BN6" si="44">BN8-BM8</f>
        <v>3.0050079999999202E-3</v>
      </c>
      <c r="BO6" s="25">
        <f t="shared" ref="BO6" si="45">BO8-BN8</f>
        <v>1.1427379202003429E-2</v>
      </c>
      <c r="BP6" s="25">
        <f t="shared" ref="BP6" si="46">BP8-BO8</f>
        <v>3.0884808013356135E-3</v>
      </c>
      <c r="BQ6" s="25">
        <f t="shared" ref="BQ6" si="47">BQ8-BP8</f>
        <v>5.008347245408995E-3</v>
      </c>
    </row>
    <row r="7" spans="1:69" s="8" customFormat="1" x14ac:dyDescent="0.25">
      <c r="A7" s="5" t="s">
        <v>72</v>
      </c>
      <c r="B7" s="6">
        <v>2.9215358931552588E-3</v>
      </c>
      <c r="C7" s="6">
        <v>7.0951585976627716E-3</v>
      </c>
      <c r="D7" s="6">
        <v>1.1268781302170284E-2</v>
      </c>
      <c r="E7" s="6">
        <v>1.5442404006677797E-2</v>
      </c>
      <c r="F7" s="6">
        <v>1.961602671118531E-2</v>
      </c>
      <c r="G7" s="6">
        <v>2.378964941569282E-2</v>
      </c>
      <c r="H7" s="6">
        <v>2.7963272120200333E-2</v>
      </c>
      <c r="I7" s="6">
        <v>3.213689482470785E-2</v>
      </c>
      <c r="J7" s="6">
        <v>3.631051752921536E-2</v>
      </c>
      <c r="K7" s="6">
        <v>4.0484140233722869E-2</v>
      </c>
      <c r="L7" s="6">
        <v>4.4657762938230386E-2</v>
      </c>
      <c r="M7" s="6">
        <v>4.8831385642737896E-2</v>
      </c>
      <c r="N7" s="6">
        <v>5.5143989983305511E-2</v>
      </c>
      <c r="O7" s="6">
        <v>6.1717445742904845E-2</v>
      </c>
      <c r="P7" s="6">
        <v>6.6621452420701166E-2</v>
      </c>
      <c r="Q7" s="6">
        <v>7.31949081803005E-2</v>
      </c>
      <c r="R7" s="6">
        <v>7.9768363939899833E-2</v>
      </c>
      <c r="S7" s="6">
        <v>8.6341819699499167E-2</v>
      </c>
      <c r="T7" s="6">
        <v>9.2706594323873126E-2</v>
      </c>
      <c r="U7" s="6">
        <v>0.11868739565943238</v>
      </c>
      <c r="V7" s="6">
        <v>0.13929465776293823</v>
      </c>
      <c r="W7" s="6">
        <v>0.15901502504173623</v>
      </c>
      <c r="X7" s="6">
        <v>0.17857888146911519</v>
      </c>
      <c r="Y7" s="6">
        <v>0.19829924874791319</v>
      </c>
      <c r="Z7" s="6">
        <v>0.21801961602671119</v>
      </c>
      <c r="AA7" s="6">
        <v>0.23773998330550919</v>
      </c>
      <c r="AB7" s="6">
        <v>0.25746035058430716</v>
      </c>
      <c r="AC7" s="6">
        <v>0.27545909849749584</v>
      </c>
      <c r="AD7" s="6">
        <v>0.29486644407345575</v>
      </c>
      <c r="AE7" s="6">
        <v>0.31458681135225375</v>
      </c>
      <c r="AF7" s="6">
        <v>0.33430717863105175</v>
      </c>
      <c r="AG7" s="6">
        <v>0.35402754590984975</v>
      </c>
      <c r="AH7" s="6">
        <v>0.37374791318864775</v>
      </c>
      <c r="AI7" s="6">
        <v>0.39346828046744575</v>
      </c>
      <c r="AJ7" s="7">
        <v>0.41318864774624375</v>
      </c>
      <c r="AK7" s="7">
        <v>0.43290901502504175</v>
      </c>
      <c r="AL7" s="7">
        <v>0.496661101836394</v>
      </c>
      <c r="AM7" s="7">
        <v>0.56286519198664442</v>
      </c>
      <c r="AN7" s="7">
        <v>0.60668823038397324</v>
      </c>
      <c r="AO7" s="7">
        <v>0.64539858096828051</v>
      </c>
      <c r="AP7" s="7">
        <v>0.71118530884808018</v>
      </c>
      <c r="AQ7" s="7">
        <v>0.776241652754591</v>
      </c>
      <c r="AR7" s="7">
        <v>0.83780258764607685</v>
      </c>
      <c r="AS7" s="7">
        <v>0.88992070116861433</v>
      </c>
      <c r="AT7" s="7">
        <v>0.92910058430717868</v>
      </c>
      <c r="AU7" s="7">
        <v>0.95748121869782976</v>
      </c>
      <c r="AV7" s="7">
        <v>0.97954924874791316</v>
      </c>
      <c r="AW7" s="7">
        <v>0.99707846410684475</v>
      </c>
      <c r="AX7" s="7">
        <v>1</v>
      </c>
      <c r="AY7" s="7">
        <v>1</v>
      </c>
      <c r="AZ7" s="7">
        <v>1</v>
      </c>
      <c r="BA7" s="7">
        <v>1</v>
      </c>
      <c r="BB7" s="7">
        <v>1</v>
      </c>
      <c r="BC7" s="7">
        <v>1</v>
      </c>
      <c r="BD7" s="7">
        <v>1</v>
      </c>
      <c r="BE7" s="7">
        <v>1</v>
      </c>
      <c r="BF7" s="7">
        <v>1</v>
      </c>
      <c r="BG7" s="7">
        <v>1</v>
      </c>
      <c r="BH7" s="7">
        <v>1</v>
      </c>
      <c r="BI7" s="7">
        <v>1</v>
      </c>
      <c r="BJ7" s="7">
        <v>1</v>
      </c>
      <c r="BK7" s="7">
        <v>1</v>
      </c>
      <c r="BL7" s="7">
        <v>1</v>
      </c>
      <c r="BM7" s="7">
        <v>1</v>
      </c>
      <c r="BN7" s="7">
        <v>1</v>
      </c>
      <c r="BO7" s="7">
        <v>1</v>
      </c>
      <c r="BP7" s="7">
        <v>1</v>
      </c>
      <c r="BQ7" s="7">
        <v>1</v>
      </c>
    </row>
    <row r="8" spans="1:69" x14ac:dyDescent="0.25">
      <c r="A8" s="1" t="s">
        <v>73</v>
      </c>
      <c r="B8" s="6">
        <v>2.9215358931552588E-3</v>
      </c>
      <c r="C8" s="6">
        <v>7.0951585976627716E-3</v>
      </c>
      <c r="D8" s="6">
        <v>1.1268781302170284E-2</v>
      </c>
      <c r="E8" s="6">
        <v>1.5442404006677797E-2</v>
      </c>
      <c r="F8" s="6">
        <v>1.961602671118531E-2</v>
      </c>
      <c r="G8" s="6">
        <v>2.378964941569282E-2</v>
      </c>
      <c r="H8" s="6">
        <v>2.7963272120200333E-2</v>
      </c>
      <c r="I8" s="6">
        <v>3.213689482470785E-2</v>
      </c>
      <c r="J8" s="6">
        <v>3.631051752921536E-2</v>
      </c>
      <c r="K8" s="6">
        <v>4.0484140233722869E-2</v>
      </c>
      <c r="L8" s="6">
        <v>4.4657762938230386E-2</v>
      </c>
      <c r="M8" s="6">
        <v>4.8831385642737896E-2</v>
      </c>
      <c r="N8" s="6">
        <v>5.5143989983305511E-2</v>
      </c>
      <c r="O8" s="6">
        <v>6.1717445742904845E-2</v>
      </c>
      <c r="P8" s="6">
        <v>6.6621452420701166E-2</v>
      </c>
      <c r="Q8" s="6">
        <v>7.31949081803005E-2</v>
      </c>
      <c r="R8" s="6">
        <v>7.9768363939899833E-2</v>
      </c>
      <c r="S8" s="6">
        <v>8.764607679465776E-2</v>
      </c>
      <c r="T8" s="6">
        <v>8.9273789649415694E-2</v>
      </c>
      <c r="U8" s="6">
        <v>9.3906510851419031E-2</v>
      </c>
      <c r="V8" s="6">
        <v>9.891485809682804E-2</v>
      </c>
      <c r="W8" s="6">
        <v>0.10459098497495826</v>
      </c>
      <c r="X8" s="6">
        <v>0.10559265442404006</v>
      </c>
      <c r="Y8" s="6">
        <v>0.10799248747913189</v>
      </c>
      <c r="Z8" s="6">
        <v>0.11068447412353923</v>
      </c>
      <c r="AA8" s="6">
        <v>0.11216611018363939</v>
      </c>
      <c r="AB8" s="6">
        <v>0.11425292153589316</v>
      </c>
      <c r="AC8" s="6">
        <v>0.11529632721202003</v>
      </c>
      <c r="AD8" s="6">
        <v>0.11790484140233723</v>
      </c>
      <c r="AE8" s="6">
        <v>0.11915692821368948</v>
      </c>
      <c r="AF8" s="6">
        <v>0.11999165275459099</v>
      </c>
      <c r="AG8" s="6">
        <v>0.12468697829716194</v>
      </c>
      <c r="AH8" s="6">
        <v>0.14440734557595994</v>
      </c>
      <c r="AI8" s="6">
        <v>0.15375626043405674</v>
      </c>
      <c r="AJ8" s="13">
        <v>0.16569282099999999</v>
      </c>
      <c r="AK8" s="6">
        <v>0.18017529215358929</v>
      </c>
      <c r="AL8" s="6">
        <v>0.18985809682804675</v>
      </c>
      <c r="AM8" s="6">
        <v>0.19282136894824708</v>
      </c>
      <c r="AN8" s="6">
        <v>0.1957846410684474</v>
      </c>
      <c r="AO8" s="6">
        <v>0.20755425709515862</v>
      </c>
      <c r="AP8" s="6">
        <v>0.23672787979966614</v>
      </c>
      <c r="AQ8" s="6">
        <v>0.24545075125208676</v>
      </c>
      <c r="AR8" s="6">
        <v>0.28611853088480799</v>
      </c>
      <c r="AS8" s="6">
        <v>0.30265442404006682</v>
      </c>
      <c r="AT8" s="6">
        <v>0.31662771285475799</v>
      </c>
      <c r="AU8" s="6">
        <v>0.33494156928213692</v>
      </c>
      <c r="AV8" s="6">
        <v>0.33594156928213698</v>
      </c>
      <c r="AW8" s="6">
        <v>0.3486727879799667</v>
      </c>
      <c r="AX8" s="6">
        <v>0.37162771285475799</v>
      </c>
      <c r="AY8" s="6">
        <v>0.38</v>
      </c>
      <c r="AZ8" s="6">
        <v>0.39</v>
      </c>
      <c r="BA8" s="6">
        <v>0.4</v>
      </c>
      <c r="BB8" s="6">
        <v>0.40598689598689602</v>
      </c>
      <c r="BC8" s="6">
        <v>0.44591819699499158</v>
      </c>
      <c r="BD8" s="6">
        <v>0.48829716193656098</v>
      </c>
      <c r="BE8" s="6">
        <v>0.52092654424040064</v>
      </c>
      <c r="BF8" s="6">
        <v>0.52880634400000004</v>
      </c>
      <c r="BG8" s="6">
        <v>0.54252921535893162</v>
      </c>
      <c r="BH8" s="6">
        <v>0.55257095158597669</v>
      </c>
      <c r="BI8" s="6">
        <v>0.56423205342237071</v>
      </c>
      <c r="BJ8" s="6">
        <v>0.57153589299999996</v>
      </c>
      <c r="BK8" s="6">
        <v>0.57938230383973277</v>
      </c>
      <c r="BL8" s="6">
        <v>0.59</v>
      </c>
      <c r="BM8" s="27">
        <v>0.59520033400000005</v>
      </c>
      <c r="BN8" s="27">
        <v>0.59820534199999997</v>
      </c>
      <c r="BO8" s="27">
        <v>0.6096327212020034</v>
      </c>
      <c r="BP8" s="27">
        <v>0.61272120200333902</v>
      </c>
      <c r="BQ8" s="28">
        <v>0.61772954924874801</v>
      </c>
    </row>
    <row r="9" spans="1:69" x14ac:dyDescent="0.25">
      <c r="A9" s="1" t="s">
        <v>74</v>
      </c>
      <c r="B9" s="6">
        <f>B7-B8</f>
        <v>0</v>
      </c>
      <c r="C9" s="6">
        <f t="shared" ref="C9:AY9" si="48">C7-C8</f>
        <v>0</v>
      </c>
      <c r="D9" s="6">
        <f t="shared" si="48"/>
        <v>0</v>
      </c>
      <c r="E9" s="6">
        <f t="shared" si="48"/>
        <v>0</v>
      </c>
      <c r="F9" s="6">
        <f t="shared" si="48"/>
        <v>0</v>
      </c>
      <c r="G9" s="6">
        <f t="shared" si="48"/>
        <v>0</v>
      </c>
      <c r="H9" s="6">
        <f t="shared" si="48"/>
        <v>0</v>
      </c>
      <c r="I9" s="6">
        <f t="shared" si="48"/>
        <v>0</v>
      </c>
      <c r="J9" s="6">
        <f t="shared" si="48"/>
        <v>0</v>
      </c>
      <c r="K9" s="6">
        <f t="shared" si="48"/>
        <v>0</v>
      </c>
      <c r="L9" s="6">
        <f t="shared" si="48"/>
        <v>0</v>
      </c>
      <c r="M9" s="6">
        <f t="shared" si="48"/>
        <v>0</v>
      </c>
      <c r="N9" s="6">
        <f t="shared" si="48"/>
        <v>0</v>
      </c>
      <c r="O9" s="6">
        <f t="shared" si="48"/>
        <v>0</v>
      </c>
      <c r="P9" s="6">
        <f t="shared" si="48"/>
        <v>0</v>
      </c>
      <c r="Q9" s="6">
        <f t="shared" si="48"/>
        <v>0</v>
      </c>
      <c r="R9" s="6">
        <f t="shared" si="48"/>
        <v>0</v>
      </c>
      <c r="S9" s="6">
        <f t="shared" si="48"/>
        <v>-1.3042570951585924E-3</v>
      </c>
      <c r="T9" s="6">
        <f t="shared" si="48"/>
        <v>3.432804674457432E-3</v>
      </c>
      <c r="U9" s="6">
        <f t="shared" si="48"/>
        <v>2.4780884808013354E-2</v>
      </c>
      <c r="V9" s="6">
        <f t="shared" si="48"/>
        <v>4.0379799666110189E-2</v>
      </c>
      <c r="W9" s="6">
        <f t="shared" si="48"/>
        <v>5.4424040066777965E-2</v>
      </c>
      <c r="X9" s="6">
        <f t="shared" si="48"/>
        <v>7.2986227045075125E-2</v>
      </c>
      <c r="Y9" s="6">
        <f t="shared" si="48"/>
        <v>9.0306761268781302E-2</v>
      </c>
      <c r="Z9" s="6">
        <f t="shared" si="48"/>
        <v>0.10733514190317196</v>
      </c>
      <c r="AA9" s="6">
        <f t="shared" si="48"/>
        <v>0.12557387312186979</v>
      </c>
      <c r="AB9" s="6">
        <f t="shared" si="48"/>
        <v>0.14320742904841399</v>
      </c>
      <c r="AC9" s="6">
        <f t="shared" si="48"/>
        <v>0.16016277128547579</v>
      </c>
      <c r="AD9" s="6">
        <f t="shared" si="48"/>
        <v>0.17696160267111852</v>
      </c>
      <c r="AE9" s="6">
        <f t="shared" si="48"/>
        <v>0.19542988313856427</v>
      </c>
      <c r="AF9" s="6">
        <f t="shared" si="48"/>
        <v>0.21431552587646074</v>
      </c>
      <c r="AG9" s="6">
        <f t="shared" si="48"/>
        <v>0.22934056761268781</v>
      </c>
      <c r="AH9" s="6">
        <f t="shared" si="48"/>
        <v>0.22934056761268781</v>
      </c>
      <c r="AI9" s="6">
        <f t="shared" si="48"/>
        <v>0.23971202003338901</v>
      </c>
      <c r="AJ9" s="6">
        <f t="shared" si="48"/>
        <v>0.24749582674624376</v>
      </c>
      <c r="AK9" s="6">
        <f t="shared" si="48"/>
        <v>0.25273372287145246</v>
      </c>
      <c r="AL9" s="6">
        <f t="shared" si="48"/>
        <v>0.30680300500834723</v>
      </c>
      <c r="AM9" s="6">
        <f t="shared" si="48"/>
        <v>0.37004382303839733</v>
      </c>
      <c r="AN9" s="6">
        <f t="shared" si="48"/>
        <v>0.41090358931552584</v>
      </c>
      <c r="AO9" s="6">
        <f t="shared" si="48"/>
        <v>0.43784432387312189</v>
      </c>
      <c r="AP9" s="6">
        <f t="shared" si="48"/>
        <v>0.47445742904841404</v>
      </c>
      <c r="AQ9" s="6">
        <f t="shared" si="48"/>
        <v>0.5307909015025043</v>
      </c>
      <c r="AR9" s="6">
        <f t="shared" si="48"/>
        <v>0.55168405676126886</v>
      </c>
      <c r="AS9" s="6">
        <f t="shared" si="48"/>
        <v>0.58726627712854751</v>
      </c>
      <c r="AT9" s="6">
        <f t="shared" si="48"/>
        <v>0.61247287145242069</v>
      </c>
      <c r="AU9" s="6">
        <f t="shared" si="48"/>
        <v>0.62253964941569284</v>
      </c>
      <c r="AV9" s="6">
        <f t="shared" si="48"/>
        <v>0.64360767946577613</v>
      </c>
      <c r="AW9" s="6">
        <f t="shared" si="48"/>
        <v>0.64840567612687805</v>
      </c>
      <c r="AX9" s="6">
        <f t="shared" si="48"/>
        <v>0.62837228714524196</v>
      </c>
      <c r="AY9" s="6">
        <f t="shared" si="48"/>
        <v>0.62</v>
      </c>
      <c r="AZ9" s="6">
        <f t="shared" ref="AZ9:BA9" si="49">AZ7-AZ8</f>
        <v>0.61</v>
      </c>
      <c r="BA9" s="6">
        <f t="shared" si="49"/>
        <v>0.6</v>
      </c>
      <c r="BB9" s="6">
        <v>0.59401310401310403</v>
      </c>
      <c r="BC9" s="6">
        <f t="shared" ref="BC9" si="50">BC7-BC8</f>
        <v>0.55408180300500842</v>
      </c>
      <c r="BD9" s="6">
        <f t="shared" ref="BD9:BG9" si="51">BD7-BD8</f>
        <v>0.51170283806343897</v>
      </c>
      <c r="BE9" s="6">
        <f t="shared" ref="BE9:BF9" si="52">BE7-BE8</f>
        <v>0.47907345575959936</v>
      </c>
      <c r="BF9" s="6">
        <f t="shared" si="52"/>
        <v>0.47119365599999996</v>
      </c>
      <c r="BG9" s="6">
        <f t="shared" si="51"/>
        <v>0.45747078464106838</v>
      </c>
      <c r="BH9" s="6"/>
      <c r="BI9" s="6">
        <f t="shared" ref="BI9" si="53">BI7-BI8</f>
        <v>0.43576794657762929</v>
      </c>
      <c r="BJ9" s="20"/>
      <c r="BK9" s="20"/>
      <c r="BL9" s="20"/>
      <c r="BM9" s="20"/>
      <c r="BN9" s="20"/>
      <c r="BO9" s="20"/>
      <c r="BP9" s="20"/>
    </row>
    <row r="10" spans="1:69" x14ac:dyDescent="0.25">
      <c r="A10" s="1" t="s">
        <v>75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9"/>
      <c r="AI10" s="7"/>
      <c r="AJ10" s="6"/>
      <c r="AK10" s="6"/>
      <c r="AL10" s="6"/>
      <c r="AM10" s="6"/>
      <c r="AN10" s="6"/>
      <c r="AO10" s="6"/>
      <c r="AP10" s="6"/>
      <c r="AQ10" s="6"/>
      <c r="AR10" s="7"/>
      <c r="AS10" s="7"/>
      <c r="AT10" s="6"/>
      <c r="AU10" s="7"/>
      <c r="AV10" s="6"/>
      <c r="AW10" s="7"/>
      <c r="AX10" s="6"/>
      <c r="AY10" s="6"/>
      <c r="AZ10" s="6"/>
      <c r="BA10" s="6"/>
      <c r="BB10" s="6"/>
      <c r="BC10" s="6"/>
      <c r="BD10" s="6"/>
      <c r="BE10" s="6"/>
      <c r="BF10" s="6"/>
      <c r="BG10" s="14"/>
      <c r="BH10" s="14"/>
      <c r="BI10" s="14"/>
      <c r="BJ10" s="26"/>
      <c r="BK10" s="26"/>
      <c r="BL10" s="26"/>
      <c r="BM10" s="26"/>
      <c r="BN10" s="26"/>
      <c r="BO10" s="26"/>
      <c r="BP10" s="26"/>
    </row>
    <row r="11" spans="1:69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9"/>
      <c r="AJ11" s="20"/>
      <c r="AK11" s="20"/>
      <c r="AL11" s="20"/>
      <c r="AM11" s="20"/>
      <c r="AN11" s="20"/>
      <c r="AO11" s="20"/>
      <c r="AP11" s="20"/>
      <c r="AQ11" s="20"/>
      <c r="AR11" s="19"/>
      <c r="AS11" s="19"/>
      <c r="AT11" s="20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</row>
    <row r="12" spans="1:69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8"/>
      <c r="AI12" s="19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19"/>
      <c r="AX12" s="19"/>
      <c r="AY12" s="19"/>
      <c r="AZ12" s="19"/>
      <c r="BA12" s="19"/>
      <c r="BB12" s="19"/>
      <c r="BC12" s="19"/>
      <c r="BD12" s="19"/>
      <c r="BE12" s="19"/>
      <c r="BF12" s="19"/>
    </row>
    <row r="13" spans="1:69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8"/>
      <c r="AI13" s="19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</row>
    <row r="14" spans="1:69" x14ac:dyDescent="0.25">
      <c r="BG14" s="12"/>
      <c r="BH14" s="12"/>
      <c r="BI14" s="12"/>
      <c r="BJ14" s="12"/>
      <c r="BK14" s="12"/>
      <c r="BL14" s="12"/>
      <c r="BM14" s="12"/>
      <c r="BN14" s="12"/>
      <c r="BO14" s="12"/>
      <c r="BP14" s="12"/>
    </row>
    <row r="15" spans="1:69" x14ac:dyDescent="0.25">
      <c r="AI15" s="11"/>
      <c r="AJ15" s="11"/>
      <c r="AK15" s="15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69" x14ac:dyDescent="0.25">
      <c r="AH16" s="11"/>
      <c r="AI16" s="12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26" spans="69:70" x14ac:dyDescent="0.25">
      <c r="BR26" s="22"/>
    </row>
    <row r="29" spans="69:70" x14ac:dyDescent="0.25">
      <c r="BQ29" s="2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96E4-05C3-4E4A-817F-88C277B4EC48}">
  <sheetPr>
    <tabColor rgb="FF00B0F0"/>
  </sheetPr>
  <dimension ref="A1:CP14"/>
  <sheetViews>
    <sheetView topLeftCell="AK1" zoomScale="40" zoomScaleNormal="40" workbookViewId="0">
      <selection activeCell="AP79" sqref="AP79"/>
    </sheetView>
  </sheetViews>
  <sheetFormatPr defaultRowHeight="13.2" x14ac:dyDescent="0.25"/>
  <cols>
    <col min="1" max="1" width="17.44140625" bestFit="1" customWidth="1"/>
  </cols>
  <sheetData>
    <row r="1" spans="1:94" x14ac:dyDescent="0.25">
      <c r="A1" s="30"/>
      <c r="B1" s="31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29" t="s">
        <v>2</v>
      </c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</row>
    <row r="2" spans="1:94" x14ac:dyDescent="0.25">
      <c r="A2" s="34"/>
      <c r="B2" s="35" t="s">
        <v>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 t="s">
        <v>5</v>
      </c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 t="s">
        <v>6</v>
      </c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 t="s">
        <v>7</v>
      </c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 t="s">
        <v>4</v>
      </c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 t="s">
        <v>5</v>
      </c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 t="s">
        <v>6</v>
      </c>
      <c r="CH2" s="35"/>
      <c r="CI2" s="35"/>
      <c r="CJ2" s="35"/>
      <c r="CK2" s="35"/>
      <c r="CL2" s="35"/>
      <c r="CM2" s="35"/>
      <c r="CN2" s="35"/>
      <c r="CO2" s="35"/>
      <c r="CP2" s="36"/>
    </row>
    <row r="3" spans="1:94" x14ac:dyDescent="0.25">
      <c r="A3" s="37" t="s">
        <v>8</v>
      </c>
      <c r="B3" s="58" t="s">
        <v>105</v>
      </c>
      <c r="C3" s="58" t="s">
        <v>105</v>
      </c>
      <c r="D3" s="58" t="s">
        <v>105</v>
      </c>
      <c r="E3" s="58" t="s">
        <v>10</v>
      </c>
      <c r="F3" s="58" t="s">
        <v>10</v>
      </c>
      <c r="G3" s="58" t="s">
        <v>10</v>
      </c>
      <c r="H3" s="58" t="s">
        <v>10</v>
      </c>
      <c r="I3" s="58" t="s">
        <v>10</v>
      </c>
      <c r="J3" s="58" t="s">
        <v>89</v>
      </c>
      <c r="K3" s="58" t="s">
        <v>89</v>
      </c>
      <c r="L3" s="58" t="s">
        <v>89</v>
      </c>
      <c r="M3" s="58" t="s">
        <v>89</v>
      </c>
      <c r="N3" s="58" t="s">
        <v>93</v>
      </c>
      <c r="O3" s="58" t="s">
        <v>93</v>
      </c>
      <c r="P3" s="58" t="s">
        <v>93</v>
      </c>
      <c r="Q3" s="58" t="s">
        <v>93</v>
      </c>
      <c r="R3" s="58" t="s">
        <v>93</v>
      </c>
      <c r="S3" s="58" t="s">
        <v>97</v>
      </c>
      <c r="T3" s="58" t="s">
        <v>97</v>
      </c>
      <c r="U3" s="58" t="s">
        <v>97</v>
      </c>
      <c r="V3" s="58" t="s">
        <v>97</v>
      </c>
      <c r="W3" s="58" t="s">
        <v>97</v>
      </c>
      <c r="X3" s="58" t="s">
        <v>98</v>
      </c>
      <c r="Y3" s="58" t="s">
        <v>98</v>
      </c>
      <c r="Z3" s="58" t="s">
        <v>98</v>
      </c>
      <c r="AA3" s="58" t="s">
        <v>98</v>
      </c>
      <c r="AB3" s="58" t="s">
        <v>99</v>
      </c>
      <c r="AC3" s="58" t="s">
        <v>99</v>
      </c>
      <c r="AD3" s="58" t="s">
        <v>99</v>
      </c>
      <c r="AE3" s="58" t="s">
        <v>99</v>
      </c>
      <c r="AF3" s="58" t="s">
        <v>99</v>
      </c>
      <c r="AG3" s="58" t="s">
        <v>100</v>
      </c>
      <c r="AH3" s="58" t="s">
        <v>100</v>
      </c>
      <c r="AI3" s="58" t="s">
        <v>100</v>
      </c>
      <c r="AJ3" s="58" t="s">
        <v>100</v>
      </c>
      <c r="AK3" s="58" t="s">
        <v>100</v>
      </c>
      <c r="AL3" s="58" t="s">
        <v>101</v>
      </c>
      <c r="AM3" s="58" t="s">
        <v>101</v>
      </c>
      <c r="AN3" s="58" t="s">
        <v>101</v>
      </c>
      <c r="AO3" s="58" t="s">
        <v>101</v>
      </c>
      <c r="AP3" s="58" t="s">
        <v>102</v>
      </c>
      <c r="AQ3" s="58" t="s">
        <v>102</v>
      </c>
      <c r="AR3" s="58" t="s">
        <v>102</v>
      </c>
      <c r="AS3" s="58" t="s">
        <v>102</v>
      </c>
      <c r="AT3" s="58" t="s">
        <v>102</v>
      </c>
      <c r="AU3" s="58" t="s">
        <v>102</v>
      </c>
      <c r="AV3" s="58" t="s">
        <v>103</v>
      </c>
      <c r="AW3" s="58" t="s">
        <v>103</v>
      </c>
      <c r="AX3" s="58" t="s">
        <v>103</v>
      </c>
      <c r="AY3" s="58" t="s">
        <v>103</v>
      </c>
      <c r="AZ3" s="58" t="s">
        <v>104</v>
      </c>
      <c r="BA3" s="58" t="s">
        <v>104</v>
      </c>
      <c r="BB3" s="58" t="s">
        <v>104</v>
      </c>
      <c r="BC3" s="58" t="s">
        <v>104</v>
      </c>
      <c r="BD3" s="58" t="s">
        <v>104</v>
      </c>
      <c r="BE3" s="58" t="s">
        <v>105</v>
      </c>
      <c r="BF3" s="58" t="s">
        <v>105</v>
      </c>
      <c r="BG3" s="58" t="s">
        <v>105</v>
      </c>
      <c r="BH3" s="58" t="s">
        <v>105</v>
      </c>
      <c r="BI3" s="58" t="s">
        <v>10</v>
      </c>
      <c r="BJ3" s="58" t="s">
        <v>10</v>
      </c>
      <c r="BK3" s="58" t="s">
        <v>10</v>
      </c>
      <c r="BL3" s="58" t="s">
        <v>10</v>
      </c>
      <c r="BM3" s="58" t="s">
        <v>10</v>
      </c>
      <c r="BN3" s="58" t="s">
        <v>89</v>
      </c>
      <c r="BO3" s="58" t="s">
        <v>89</v>
      </c>
      <c r="BP3" s="58" t="s">
        <v>89</v>
      </c>
      <c r="BQ3" s="58" t="s">
        <v>89</v>
      </c>
      <c r="BR3" s="58" t="s">
        <v>93</v>
      </c>
      <c r="BS3" s="58" t="s">
        <v>93</v>
      </c>
      <c r="BT3" s="58" t="s">
        <v>93</v>
      </c>
      <c r="BU3" s="58" t="s">
        <v>93</v>
      </c>
      <c r="BV3" s="58" t="s">
        <v>93</v>
      </c>
      <c r="BW3" s="58" t="s">
        <v>97</v>
      </c>
      <c r="BX3" s="58" t="s">
        <v>97</v>
      </c>
      <c r="BY3" s="58" t="s">
        <v>97</v>
      </c>
      <c r="BZ3" s="58" t="s">
        <v>97</v>
      </c>
      <c r="CA3" s="58" t="s">
        <v>97</v>
      </c>
      <c r="CB3" s="58" t="s">
        <v>99</v>
      </c>
      <c r="CC3" s="58" t="s">
        <v>99</v>
      </c>
      <c r="CD3" s="58" t="s">
        <v>99</v>
      </c>
      <c r="CE3" s="58" t="s">
        <v>99</v>
      </c>
      <c r="CF3" s="58" t="s">
        <v>99</v>
      </c>
      <c r="CG3" s="58" t="s">
        <v>99</v>
      </c>
      <c r="CH3" s="58" t="s">
        <v>99</v>
      </c>
      <c r="CI3" s="58" t="s">
        <v>99</v>
      </c>
      <c r="CJ3" s="58" t="s">
        <v>99</v>
      </c>
      <c r="CK3" s="58" t="s">
        <v>99</v>
      </c>
      <c r="CL3" s="58" t="s">
        <v>100</v>
      </c>
      <c r="CM3" s="58" t="s">
        <v>100</v>
      </c>
      <c r="CN3" s="58" t="s">
        <v>100</v>
      </c>
      <c r="CO3" s="58" t="s">
        <v>100</v>
      </c>
      <c r="CP3" s="59" t="s">
        <v>100</v>
      </c>
    </row>
    <row r="4" spans="1:94" x14ac:dyDescent="0.25">
      <c r="A4" s="37" t="s">
        <v>20</v>
      </c>
      <c r="B4" s="60" t="s">
        <v>106</v>
      </c>
      <c r="C4" s="61" t="s">
        <v>107</v>
      </c>
      <c r="D4" s="61" t="s">
        <v>108</v>
      </c>
      <c r="E4" s="61" t="s">
        <v>109</v>
      </c>
      <c r="F4" s="61" t="s">
        <v>110</v>
      </c>
      <c r="G4" s="61" t="s">
        <v>111</v>
      </c>
      <c r="H4" s="61" t="s">
        <v>112</v>
      </c>
      <c r="I4" s="61" t="s">
        <v>113</v>
      </c>
      <c r="J4" s="61" t="s">
        <v>114</v>
      </c>
      <c r="K4" s="61" t="s">
        <v>115</v>
      </c>
      <c r="L4" s="61" t="s">
        <v>116</v>
      </c>
      <c r="M4" s="61" t="s">
        <v>117</v>
      </c>
      <c r="N4" s="61" t="s">
        <v>118</v>
      </c>
      <c r="O4" s="60" t="s">
        <v>118</v>
      </c>
      <c r="P4" s="61" t="s">
        <v>119</v>
      </c>
      <c r="Q4" s="61" t="s">
        <v>120</v>
      </c>
      <c r="R4" s="61" t="s">
        <v>121</v>
      </c>
      <c r="S4" s="61" t="s">
        <v>122</v>
      </c>
      <c r="T4" s="61" t="s">
        <v>123</v>
      </c>
      <c r="U4" s="61" t="s">
        <v>124</v>
      </c>
      <c r="V4" s="61" t="s">
        <v>125</v>
      </c>
      <c r="W4" s="61" t="s">
        <v>126</v>
      </c>
      <c r="X4" s="61" t="s">
        <v>127</v>
      </c>
      <c r="Y4" s="61" t="s">
        <v>128</v>
      </c>
      <c r="Z4" s="61" t="s">
        <v>129</v>
      </c>
      <c r="AA4" s="61" t="s">
        <v>130</v>
      </c>
      <c r="AB4" s="61" t="s">
        <v>131</v>
      </c>
      <c r="AC4" s="60" t="s">
        <v>131</v>
      </c>
      <c r="AD4" s="61" t="s">
        <v>132</v>
      </c>
      <c r="AE4" s="61" t="s">
        <v>133</v>
      </c>
      <c r="AF4" s="61" t="s">
        <v>134</v>
      </c>
      <c r="AG4" s="61" t="s">
        <v>135</v>
      </c>
      <c r="AH4" s="61" t="s">
        <v>136</v>
      </c>
      <c r="AI4" s="61" t="s">
        <v>137</v>
      </c>
      <c r="AJ4" s="61" t="s">
        <v>138</v>
      </c>
      <c r="AK4" s="61" t="s">
        <v>139</v>
      </c>
      <c r="AL4" s="61" t="s">
        <v>140</v>
      </c>
      <c r="AM4" s="61" t="s">
        <v>141</v>
      </c>
      <c r="AN4" s="61" t="s">
        <v>142</v>
      </c>
      <c r="AO4" s="61" t="s">
        <v>143</v>
      </c>
      <c r="AP4" s="61" t="s">
        <v>144</v>
      </c>
      <c r="AQ4" s="60" t="s">
        <v>144</v>
      </c>
      <c r="AR4" s="61" t="s">
        <v>145</v>
      </c>
      <c r="AS4" s="61" t="s">
        <v>146</v>
      </c>
      <c r="AT4" s="61" t="s">
        <v>147</v>
      </c>
      <c r="AU4" s="61" t="s">
        <v>148</v>
      </c>
      <c r="AV4" s="61" t="s">
        <v>149</v>
      </c>
      <c r="AW4" s="61" t="s">
        <v>150</v>
      </c>
      <c r="AX4" s="61" t="s">
        <v>151</v>
      </c>
      <c r="AY4" s="61" t="s">
        <v>152</v>
      </c>
      <c r="AZ4" s="61" t="s">
        <v>153</v>
      </c>
      <c r="BA4" s="61" t="s">
        <v>154</v>
      </c>
      <c r="BB4" s="61" t="s">
        <v>155</v>
      </c>
      <c r="BC4" s="61" t="s">
        <v>156</v>
      </c>
      <c r="BD4" s="61" t="s">
        <v>157</v>
      </c>
      <c r="BE4" s="60" t="s">
        <v>157</v>
      </c>
      <c r="BF4" s="61" t="s">
        <v>106</v>
      </c>
      <c r="BG4" s="61" t="s">
        <v>107</v>
      </c>
      <c r="BH4" s="61" t="s">
        <v>108</v>
      </c>
      <c r="BI4" s="61" t="s">
        <v>109</v>
      </c>
      <c r="BJ4" s="61" t="s">
        <v>110</v>
      </c>
      <c r="BK4" s="61" t="s">
        <v>111</v>
      </c>
      <c r="BL4" s="61" t="s">
        <v>112</v>
      </c>
      <c r="BM4" s="61" t="s">
        <v>113</v>
      </c>
      <c r="BN4" s="61" t="s">
        <v>114</v>
      </c>
      <c r="BO4" s="61" t="s">
        <v>115</v>
      </c>
      <c r="BP4" s="61" t="s">
        <v>116</v>
      </c>
      <c r="BQ4" s="61" t="s">
        <v>117</v>
      </c>
      <c r="BR4" s="61" t="s">
        <v>118</v>
      </c>
      <c r="BS4" s="60" t="s">
        <v>118</v>
      </c>
      <c r="BT4" s="61" t="s">
        <v>119</v>
      </c>
      <c r="BU4" s="61" t="s">
        <v>120</v>
      </c>
      <c r="BV4" s="61" t="s">
        <v>121</v>
      </c>
      <c r="BW4" s="61" t="s">
        <v>122</v>
      </c>
      <c r="BX4" s="61" t="s">
        <v>123</v>
      </c>
      <c r="BY4" s="61" t="s">
        <v>124</v>
      </c>
      <c r="BZ4" s="61" t="s">
        <v>125</v>
      </c>
      <c r="CA4" s="61" t="s">
        <v>126</v>
      </c>
      <c r="CB4" s="61" t="s">
        <v>127</v>
      </c>
      <c r="CC4" s="61" t="s">
        <v>128</v>
      </c>
      <c r="CD4" s="61" t="s">
        <v>129</v>
      </c>
      <c r="CE4" s="61" t="s">
        <v>130</v>
      </c>
      <c r="CF4" s="61" t="s">
        <v>131</v>
      </c>
      <c r="CG4" s="60" t="s">
        <v>131</v>
      </c>
      <c r="CH4" s="61" t="s">
        <v>132</v>
      </c>
      <c r="CI4" s="61" t="s">
        <v>133</v>
      </c>
      <c r="CJ4" s="61" t="s">
        <v>134</v>
      </c>
      <c r="CK4" s="61" t="s">
        <v>135</v>
      </c>
      <c r="CL4" s="61" t="s">
        <v>136</v>
      </c>
      <c r="CM4" s="61" t="s">
        <v>137</v>
      </c>
      <c r="CN4" s="61" t="s">
        <v>138</v>
      </c>
      <c r="CO4" s="61" t="s">
        <v>139</v>
      </c>
      <c r="CP4" s="62" t="s">
        <v>140</v>
      </c>
    </row>
    <row r="5" spans="1:94" x14ac:dyDescent="0.25">
      <c r="A5" s="37" t="s">
        <v>163</v>
      </c>
      <c r="B5" s="43">
        <v>2.9215358931552588E-3</v>
      </c>
      <c r="C5" s="44">
        <v>4.1736227045075132E-3</v>
      </c>
      <c r="D5" s="44">
        <v>4.1736227045075123E-3</v>
      </c>
      <c r="E5" s="44">
        <v>4.1736227045075132E-3</v>
      </c>
      <c r="F5" s="44">
        <v>4.1736227045075132E-3</v>
      </c>
      <c r="G5" s="44">
        <v>4.1736227045075097E-3</v>
      </c>
      <c r="H5" s="44">
        <v>4.1736227045075132E-3</v>
      </c>
      <c r="I5" s="44">
        <v>4.1736227045075167E-3</v>
      </c>
      <c r="J5" s="44">
        <v>4.1736227045075097E-3</v>
      </c>
      <c r="K5" s="44">
        <v>4.1736227045075097E-3</v>
      </c>
      <c r="L5" s="44">
        <v>4.1736227045075167E-3</v>
      </c>
      <c r="M5" s="44">
        <v>4.1736227045075097E-3</v>
      </c>
      <c r="N5" s="44">
        <v>6.3126043405676152E-3</v>
      </c>
      <c r="O5" s="44">
        <v>6.5734557595993337E-3</v>
      </c>
      <c r="P5" s="44">
        <v>4.9040066777963215E-3</v>
      </c>
      <c r="Q5" s="44">
        <v>6.5734557595993337E-3</v>
      </c>
      <c r="R5" s="44">
        <v>6.5734557595993337E-3</v>
      </c>
      <c r="S5" s="44">
        <v>6.5734557595993337E-3</v>
      </c>
      <c r="T5" s="44">
        <v>6.3647746243739589E-3</v>
      </c>
      <c r="U5" s="44">
        <v>2.5980801335559259E-2</v>
      </c>
      <c r="V5" s="44">
        <v>2.0607262103505844E-2</v>
      </c>
      <c r="W5" s="44">
        <v>1.9720367278798001E-2</v>
      </c>
      <c r="X5" s="44">
        <v>1.9563856427378956E-2</v>
      </c>
      <c r="Y5" s="44">
        <v>1.9720367278798001E-2</v>
      </c>
      <c r="Z5" s="44">
        <v>1.9720367278798001E-2</v>
      </c>
      <c r="AA5" s="44">
        <v>1.9720367278798001E-2</v>
      </c>
      <c r="AB5" s="44">
        <v>1.9720367278797973E-2</v>
      </c>
      <c r="AC5" s="44">
        <v>1.7998747913188673E-2</v>
      </c>
      <c r="AD5" s="44">
        <v>1.9407345575959911E-2</v>
      </c>
      <c r="AE5" s="44">
        <v>1.9720367278798001E-2</v>
      </c>
      <c r="AF5" s="44">
        <v>1.9720367278798001E-2</v>
      </c>
      <c r="AG5" s="44">
        <v>1.9720367278798001E-2</v>
      </c>
      <c r="AH5" s="44">
        <v>1.9720367278798001E-2</v>
      </c>
      <c r="AI5" s="44">
        <v>1.9720367278798001E-2</v>
      </c>
      <c r="AJ5" s="44">
        <v>1.9720367278798001E-2</v>
      </c>
      <c r="AK5" s="44">
        <v>1.9720367278798001E-2</v>
      </c>
      <c r="AL5" s="44">
        <v>6.3752086811352249E-2</v>
      </c>
      <c r="AM5" s="44">
        <v>6.6204090150250416E-2</v>
      </c>
      <c r="AN5" s="44">
        <v>4.3823038397328817E-2</v>
      </c>
      <c r="AO5" s="44">
        <v>3.8710350584307274E-2</v>
      </c>
      <c r="AP5" s="44">
        <v>6.5786727879799667E-2</v>
      </c>
      <c r="AQ5" s="44">
        <v>6.5056343906510827E-2</v>
      </c>
      <c r="AR5" s="44">
        <v>6.1560934891485841E-2</v>
      </c>
      <c r="AS5" s="44">
        <v>5.2118113522537479E-2</v>
      </c>
      <c r="AT5" s="44">
        <v>3.9179883138564353E-2</v>
      </c>
      <c r="AU5" s="44">
        <v>2.8380634390651083E-2</v>
      </c>
      <c r="AV5" s="44">
        <v>2.2068030050083398E-2</v>
      </c>
      <c r="AW5" s="44">
        <v>1.7529215358931594E-2</v>
      </c>
      <c r="AX5" s="44">
        <v>2.9215358931552471E-3</v>
      </c>
      <c r="AY5" s="44"/>
      <c r="AZ5" s="44"/>
      <c r="BA5" s="43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5"/>
      <c r="BS5" s="45"/>
      <c r="BT5" s="45"/>
      <c r="BU5" s="45"/>
      <c r="BV5" s="45">
        <f t="shared" ref="BV5:CP5" si="0">+BV10-BU10</f>
        <v>4.1156609637410746E-2</v>
      </c>
      <c r="BW5" s="45">
        <f t="shared" si="0"/>
        <v>5.0368550368550369E-2</v>
      </c>
      <c r="BX5" s="45">
        <f t="shared" si="0"/>
        <v>4.9549549549549599E-2</v>
      </c>
      <c r="BY5" s="45">
        <f t="shared" si="0"/>
        <v>4.0950040950040956E-2</v>
      </c>
      <c r="BZ5" s="45">
        <f t="shared" si="0"/>
        <v>3.2760032760032698E-2</v>
      </c>
      <c r="CA5" s="45">
        <f t="shared" si="0"/>
        <v>2.9402129402129606E-2</v>
      </c>
      <c r="CB5" s="45">
        <f t="shared" si="0"/>
        <v>2.2522522522522515E-2</v>
      </c>
      <c r="CC5" s="45">
        <f t="shared" si="0"/>
        <v>1.4578214578214399E-2</v>
      </c>
      <c r="CD5" s="45">
        <f t="shared" si="0"/>
        <v>8.1900081900081467E-3</v>
      </c>
      <c r="CE5" s="45">
        <f t="shared" si="0"/>
        <v>1.0565110565110669E-2</v>
      </c>
      <c r="CF5" s="45">
        <f t="shared" si="0"/>
        <v>6.5520065520064952E-3</v>
      </c>
      <c r="CG5" s="45">
        <f t="shared" si="0"/>
        <v>3.2760032760033031E-3</v>
      </c>
      <c r="CH5" s="45">
        <f t="shared" si="0"/>
        <v>8.1900081900082577E-3</v>
      </c>
      <c r="CI5" s="45">
        <f t="shared" si="0"/>
        <v>6.6339066339067276E-3</v>
      </c>
      <c r="CJ5" s="45">
        <f t="shared" si="0"/>
        <v>1.1793611793611603E-2</v>
      </c>
      <c r="CK5" s="45">
        <f t="shared" si="0"/>
        <v>1.2285012285012331E-2</v>
      </c>
      <c r="CL5" s="45">
        <f t="shared" si="0"/>
        <v>8.4357084357086221E-3</v>
      </c>
      <c r="CM5" s="45">
        <f t="shared" si="0"/>
        <v>8.1900081900081467E-3</v>
      </c>
      <c r="CN5" s="45">
        <f t="shared" si="0"/>
        <v>8.1900081900081467E-3</v>
      </c>
      <c r="CO5" s="45">
        <f t="shared" si="0"/>
        <v>8.1900081900082577E-3</v>
      </c>
      <c r="CP5" s="51">
        <f t="shared" si="0"/>
        <v>4.9140049140039554E-4</v>
      </c>
    </row>
    <row r="6" spans="1:94" x14ac:dyDescent="0.25">
      <c r="A6" s="37" t="s">
        <v>164</v>
      </c>
      <c r="B6" s="45">
        <v>0</v>
      </c>
      <c r="C6" s="65">
        <f>+C11-B11</f>
        <v>4.1736227045075132E-3</v>
      </c>
      <c r="D6" s="65">
        <f t="shared" ref="D6:BO6" si="1">+D11-C11</f>
        <v>4.1736227045075123E-3</v>
      </c>
      <c r="E6" s="65">
        <f t="shared" si="1"/>
        <v>4.1736227045075132E-3</v>
      </c>
      <c r="F6" s="65">
        <f t="shared" si="1"/>
        <v>4.1736227045075132E-3</v>
      </c>
      <c r="G6" s="65">
        <f t="shared" si="1"/>
        <v>4.1736227045075097E-3</v>
      </c>
      <c r="H6" s="65">
        <f t="shared" si="1"/>
        <v>4.1736227045075132E-3</v>
      </c>
      <c r="I6" s="65">
        <f t="shared" si="1"/>
        <v>4.1736227045075167E-3</v>
      </c>
      <c r="J6" s="65">
        <f t="shared" si="1"/>
        <v>4.1736227045075097E-3</v>
      </c>
      <c r="K6" s="65">
        <f t="shared" si="1"/>
        <v>4.1736227045075097E-3</v>
      </c>
      <c r="L6" s="65">
        <f t="shared" si="1"/>
        <v>4.1736227045075167E-3</v>
      </c>
      <c r="M6" s="65">
        <f t="shared" si="1"/>
        <v>4.1736227045075097E-3</v>
      </c>
      <c r="N6" s="65">
        <f t="shared" si="1"/>
        <v>6.3126043405676152E-3</v>
      </c>
      <c r="O6" s="65">
        <f t="shared" si="1"/>
        <v>0</v>
      </c>
      <c r="P6" s="65">
        <f t="shared" si="1"/>
        <v>1.1477462437395655E-2</v>
      </c>
      <c r="Q6" s="65">
        <f t="shared" si="1"/>
        <v>6.5734557595993337E-3</v>
      </c>
      <c r="R6" s="65">
        <f t="shared" si="1"/>
        <v>6.5734557595993337E-3</v>
      </c>
      <c r="S6" s="65">
        <f t="shared" si="1"/>
        <v>7.8777128547579262E-3</v>
      </c>
      <c r="T6" s="65">
        <f t="shared" si="1"/>
        <v>1.6277128547579345E-3</v>
      </c>
      <c r="U6" s="65">
        <f t="shared" si="1"/>
        <v>4.632721202003337E-3</v>
      </c>
      <c r="V6" s="65">
        <f t="shared" si="1"/>
        <v>5.0083472454090089E-3</v>
      </c>
      <c r="W6" s="65">
        <f t="shared" si="1"/>
        <v>5.6761268781302249E-3</v>
      </c>
      <c r="X6" s="65">
        <f t="shared" si="1"/>
        <v>1.0016694490817962E-3</v>
      </c>
      <c r="Y6" s="65">
        <f t="shared" si="1"/>
        <v>2.399833055091824E-3</v>
      </c>
      <c r="Z6" s="65">
        <f t="shared" si="1"/>
        <v>2.6919866444073404E-3</v>
      </c>
      <c r="AA6" s="65">
        <f t="shared" si="1"/>
        <v>1.4816360601001693E-3</v>
      </c>
      <c r="AB6" s="65">
        <f t="shared" si="1"/>
        <v>2.0868113522537618E-3</v>
      </c>
      <c r="AC6" s="65">
        <f t="shared" si="1"/>
        <v>0</v>
      </c>
      <c r="AD6" s="65">
        <f t="shared" si="1"/>
        <v>1.043405676126874E-3</v>
      </c>
      <c r="AE6" s="65">
        <f t="shared" si="1"/>
        <v>2.6085141903171988E-3</v>
      </c>
      <c r="AF6" s="65">
        <f t="shared" si="1"/>
        <v>1.2520868113522488E-3</v>
      </c>
      <c r="AG6" s="65">
        <f t="shared" si="1"/>
        <v>8.3472454090151305E-4</v>
      </c>
      <c r="AH6" s="65">
        <f t="shared" si="1"/>
        <v>4.6953255425709467E-3</v>
      </c>
      <c r="AI6" s="65">
        <f t="shared" si="1"/>
        <v>1.9720367278798001E-2</v>
      </c>
      <c r="AJ6" s="65">
        <f t="shared" si="1"/>
        <v>9.3489148580968018E-3</v>
      </c>
      <c r="AK6" s="65">
        <f t="shared" si="1"/>
        <v>1.1936560565943249E-2</v>
      </c>
      <c r="AL6" s="65">
        <f t="shared" si="1"/>
        <v>1.4482471153589305E-2</v>
      </c>
      <c r="AM6" s="65">
        <f t="shared" si="1"/>
        <v>9.6828046744574514E-3</v>
      </c>
      <c r="AN6" s="65">
        <f t="shared" si="1"/>
        <v>2.9632721202003387E-3</v>
      </c>
      <c r="AO6" s="65">
        <f t="shared" si="1"/>
        <v>2.9632721202003109E-3</v>
      </c>
      <c r="AP6" s="65">
        <f t="shared" si="1"/>
        <v>1.1769616026711227E-2</v>
      </c>
      <c r="AQ6" s="65">
        <f t="shared" si="1"/>
        <v>0</v>
      </c>
      <c r="AR6" s="65">
        <f t="shared" si="1"/>
        <v>2.9173622704507518E-2</v>
      </c>
      <c r="AS6" s="65">
        <f t="shared" si="1"/>
        <v>8.7228714524206219E-3</v>
      </c>
      <c r="AT6" s="65">
        <f t="shared" si="1"/>
        <v>4.0667779632721224E-2</v>
      </c>
      <c r="AU6" s="65">
        <f t="shared" si="1"/>
        <v>1.653589315525883E-2</v>
      </c>
      <c r="AV6" s="65">
        <f t="shared" si="1"/>
        <v>1.3973288814691176E-2</v>
      </c>
      <c r="AW6" s="65">
        <f t="shared" si="1"/>
        <v>1.8313856427378927E-2</v>
      </c>
      <c r="AX6" s="65">
        <f t="shared" si="1"/>
        <v>1.0000000000000564E-3</v>
      </c>
      <c r="AY6" s="65">
        <f t="shared" si="1"/>
        <v>1.2731218697829727E-2</v>
      </c>
      <c r="AZ6" s="65">
        <f t="shared" si="1"/>
        <v>2.2954924874791283E-2</v>
      </c>
      <c r="BA6" s="65">
        <f t="shared" si="1"/>
        <v>8.3722871452420189E-3</v>
      </c>
      <c r="BB6" s="65">
        <f t="shared" si="1"/>
        <v>1.0000000000000009E-2</v>
      </c>
      <c r="BC6" s="65">
        <f t="shared" si="1"/>
        <v>1.0000000000000009E-2</v>
      </c>
      <c r="BD6" s="65">
        <f t="shared" si="1"/>
        <v>5.9868959868960014E-3</v>
      </c>
      <c r="BE6" s="65">
        <f t="shared" si="1"/>
        <v>0</v>
      </c>
      <c r="BF6" s="65">
        <f t="shared" si="1"/>
        <v>3.9931301008095554E-2</v>
      </c>
      <c r="BG6" s="65">
        <f t="shared" si="1"/>
        <v>4.2378964941569397E-2</v>
      </c>
      <c r="BH6" s="65">
        <f t="shared" si="1"/>
        <v>3.262938230383966E-2</v>
      </c>
      <c r="BI6" s="65">
        <f t="shared" si="1"/>
        <v>7.879799759599404E-3</v>
      </c>
      <c r="BJ6" s="65">
        <f t="shared" si="1"/>
        <v>1.3722871358931577E-2</v>
      </c>
      <c r="BK6" s="65">
        <f t="shared" si="1"/>
        <v>1.0041736227045073E-2</v>
      </c>
      <c r="BL6" s="65">
        <f t="shared" si="1"/>
        <v>1.1661101836394017E-2</v>
      </c>
      <c r="BM6" s="65">
        <f t="shared" si="1"/>
        <v>7.3038395776292564E-3</v>
      </c>
      <c r="BN6" s="65">
        <f t="shared" si="1"/>
        <v>7.8464108397328092E-3</v>
      </c>
      <c r="BO6" s="65">
        <f t="shared" si="1"/>
        <v>1.0617696160267198E-2</v>
      </c>
      <c r="BP6" s="65">
        <f t="shared" ref="BP6:BT6" si="2">+BP11-BO11</f>
        <v>5.2003340000000842E-3</v>
      </c>
      <c r="BQ6" s="65">
        <f t="shared" si="2"/>
        <v>3.0050079999999202E-3</v>
      </c>
      <c r="BR6" s="65">
        <f t="shared" si="2"/>
        <v>1.1427379202003429E-2</v>
      </c>
      <c r="BS6" s="65">
        <f t="shared" si="2"/>
        <v>0</v>
      </c>
      <c r="BT6" s="65">
        <f t="shared" si="2"/>
        <v>3.0884808013356135E-3</v>
      </c>
      <c r="BU6" s="65">
        <f>+BU11-BT11</f>
        <v>5.008347245408995E-3</v>
      </c>
      <c r="BV6" s="65">
        <f>+BV11-BU11</f>
        <v>2.6794657762936325E-3</v>
      </c>
      <c r="BW6" s="65">
        <v>3.9232053422372237E-3</v>
      </c>
      <c r="BX6" s="65">
        <v>3.1719532554256302E-3</v>
      </c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</row>
    <row r="7" spans="1:94" x14ac:dyDescent="0.25">
      <c r="A7" s="37" t="s">
        <v>158</v>
      </c>
      <c r="B7" s="46">
        <v>28</v>
      </c>
      <c r="C7" s="46">
        <v>68</v>
      </c>
      <c r="D7" s="46">
        <v>108</v>
      </c>
      <c r="E7" s="46">
        <v>148</v>
      </c>
      <c r="F7" s="46">
        <v>188</v>
      </c>
      <c r="G7" s="46">
        <v>228</v>
      </c>
      <c r="H7" s="46">
        <v>268</v>
      </c>
      <c r="I7" s="46">
        <v>308</v>
      </c>
      <c r="J7" s="46">
        <v>348</v>
      </c>
      <c r="K7" s="46">
        <v>388</v>
      </c>
      <c r="L7" s="46">
        <v>428</v>
      </c>
      <c r="M7" s="46">
        <v>468</v>
      </c>
      <c r="N7" s="46">
        <v>476</v>
      </c>
      <c r="O7" s="46">
        <v>528.5</v>
      </c>
      <c r="P7" s="46">
        <v>591.5</v>
      </c>
      <c r="Q7" s="46">
        <v>638.5</v>
      </c>
      <c r="R7" s="46">
        <v>701.5</v>
      </c>
      <c r="S7" s="46">
        <v>764.5</v>
      </c>
      <c r="T7" s="46">
        <v>827.5</v>
      </c>
      <c r="U7" s="46">
        <v>888.5</v>
      </c>
      <c r="V7" s="46">
        <v>1137.5</v>
      </c>
      <c r="W7" s="46">
        <v>1335</v>
      </c>
      <c r="X7" s="46">
        <v>1524</v>
      </c>
      <c r="Y7" s="46">
        <v>1711.5</v>
      </c>
      <c r="Z7" s="46">
        <v>1900.5</v>
      </c>
      <c r="AA7" s="46">
        <v>2089.5</v>
      </c>
      <c r="AB7" s="46">
        <v>2152.5</v>
      </c>
      <c r="AC7" s="46">
        <v>2278.5</v>
      </c>
      <c r="AD7" s="46">
        <v>2467.5</v>
      </c>
      <c r="AE7" s="46">
        <v>2640</v>
      </c>
      <c r="AF7" s="46">
        <v>2826</v>
      </c>
      <c r="AG7" s="46">
        <v>3015</v>
      </c>
      <c r="AH7" s="46">
        <v>3204</v>
      </c>
      <c r="AI7" s="46">
        <v>3393</v>
      </c>
      <c r="AJ7" s="46">
        <v>3582</v>
      </c>
      <c r="AK7" s="46">
        <v>3771</v>
      </c>
      <c r="AL7" s="46">
        <v>3960</v>
      </c>
      <c r="AM7" s="46">
        <v>4149</v>
      </c>
      <c r="AN7" s="46">
        <v>4760</v>
      </c>
      <c r="AO7" s="46">
        <v>5394.5</v>
      </c>
      <c r="AP7" s="46">
        <v>5814.5</v>
      </c>
      <c r="AQ7" s="46">
        <v>6185.5</v>
      </c>
      <c r="AR7" s="46">
        <v>6816</v>
      </c>
      <c r="AS7" s="46">
        <v>7439.5</v>
      </c>
      <c r="AT7" s="46">
        <v>8029.5</v>
      </c>
      <c r="AU7" s="46">
        <v>8529</v>
      </c>
      <c r="AV7" s="46">
        <v>8904.5</v>
      </c>
      <c r="AW7" s="46">
        <v>9176.5</v>
      </c>
      <c r="AX7" s="46">
        <v>9388</v>
      </c>
      <c r="AY7" s="46">
        <v>9556</v>
      </c>
      <c r="AZ7" s="46">
        <f>9584+136+48</f>
        <v>9768</v>
      </c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8"/>
    </row>
    <row r="8" spans="1:94" x14ac:dyDescent="0.25">
      <c r="A8" s="37" t="s">
        <v>159</v>
      </c>
      <c r="B8" s="32">
        <v>28</v>
      </c>
      <c r="C8" s="33">
        <v>68</v>
      </c>
      <c r="D8" s="33">
        <v>108</v>
      </c>
      <c r="E8" s="33">
        <v>148</v>
      </c>
      <c r="F8" s="33">
        <v>188</v>
      </c>
      <c r="G8" s="33">
        <v>228</v>
      </c>
      <c r="H8" s="33">
        <v>268</v>
      </c>
      <c r="I8" s="33">
        <v>308</v>
      </c>
      <c r="J8" s="33">
        <v>348</v>
      </c>
      <c r="K8" s="33">
        <v>388</v>
      </c>
      <c r="L8" s="33">
        <v>428</v>
      </c>
      <c r="M8" s="33">
        <v>468</v>
      </c>
      <c r="N8" s="33">
        <v>476</v>
      </c>
      <c r="O8" s="32">
        <v>528.5</v>
      </c>
      <c r="P8" s="33">
        <v>591.5</v>
      </c>
      <c r="Q8" s="33">
        <v>638.5</v>
      </c>
      <c r="R8" s="33">
        <v>701.5</v>
      </c>
      <c r="S8" s="33">
        <v>764.5</v>
      </c>
      <c r="T8" s="33">
        <v>827.5</v>
      </c>
      <c r="U8" s="33">
        <v>888.5</v>
      </c>
      <c r="V8" s="33">
        <v>1036</v>
      </c>
      <c r="W8" s="33">
        <v>1224</v>
      </c>
      <c r="X8" s="33">
        <v>1413</v>
      </c>
      <c r="Y8" s="33">
        <v>1552.5</v>
      </c>
      <c r="Z8" s="33">
        <v>1741.5</v>
      </c>
      <c r="AA8" s="33">
        <v>1930.5</v>
      </c>
      <c r="AB8" s="33">
        <v>1984.2</v>
      </c>
      <c r="AC8" s="32">
        <v>2068.1999999999998</v>
      </c>
      <c r="AD8" s="33">
        <v>2194.1999999999998</v>
      </c>
      <c r="AE8" s="33">
        <v>2298.1999999999998</v>
      </c>
      <c r="AF8" s="33">
        <v>2499.6</v>
      </c>
      <c r="AG8" s="33">
        <v>2688.6</v>
      </c>
      <c r="AH8" s="33">
        <v>2877.6</v>
      </c>
      <c r="AI8" s="33">
        <v>3007.6</v>
      </c>
      <c r="AJ8" s="33">
        <v>3133.6</v>
      </c>
      <c r="AK8" s="33">
        <v>3259.6</v>
      </c>
      <c r="AL8" s="33">
        <v>3385.6</v>
      </c>
      <c r="AM8" s="33">
        <v>3487.6</v>
      </c>
      <c r="AN8" s="33">
        <v>3911.6</v>
      </c>
      <c r="AO8" s="33">
        <v>4334.1000000000004</v>
      </c>
      <c r="AP8" s="33">
        <v>4602.1999999999989</v>
      </c>
      <c r="AQ8" s="32">
        <v>4804.5</v>
      </c>
      <c r="AR8" s="33">
        <v>5091.5</v>
      </c>
      <c r="AS8" s="33">
        <v>5347.32</v>
      </c>
      <c r="AT8" s="33">
        <v>5549.82</v>
      </c>
      <c r="AU8" s="33">
        <v>5758.82</v>
      </c>
      <c r="AV8" s="33">
        <v>5917.9199999999992</v>
      </c>
      <c r="AW8" s="33">
        <v>5917.9199999999992</v>
      </c>
      <c r="AX8" s="33">
        <v>5917.9199999999992</v>
      </c>
      <c r="AY8" s="33">
        <v>5917.9199999999992</v>
      </c>
      <c r="AZ8" s="33">
        <v>5917.9199999999992</v>
      </c>
      <c r="BA8" s="33">
        <v>5917.9199999999992</v>
      </c>
      <c r="BB8" s="33">
        <v>5917.9199999999992</v>
      </c>
      <c r="BC8" s="33">
        <v>5917.9199999999992</v>
      </c>
      <c r="BD8" s="33">
        <v>5917.9199999999992</v>
      </c>
      <c r="BE8" s="32">
        <v>5917.9199999999992</v>
      </c>
      <c r="BF8" s="33">
        <v>5917.9199999999992</v>
      </c>
      <c r="BG8" s="33">
        <v>5917.9199999999992</v>
      </c>
      <c r="BH8" s="33">
        <v>5917.9199999999992</v>
      </c>
      <c r="BI8" s="33">
        <v>5917.9199999999992</v>
      </c>
      <c r="BJ8" s="33">
        <v>5917.9199999999992</v>
      </c>
      <c r="BK8" s="33">
        <v>5917.9199999999992</v>
      </c>
      <c r="BL8" s="33">
        <v>5917.9199999999992</v>
      </c>
      <c r="BM8" s="33">
        <v>5917.9199999999992</v>
      </c>
      <c r="BN8" s="33">
        <v>5917.9199999999992</v>
      </c>
      <c r="BO8" s="33">
        <v>5917.9199999999992</v>
      </c>
      <c r="BP8" s="33">
        <v>5917.9199999999992</v>
      </c>
      <c r="BQ8" s="33">
        <v>5917.9199999999992</v>
      </c>
      <c r="BR8" s="33">
        <v>5917.9199999999992</v>
      </c>
      <c r="BS8" s="32">
        <v>5917.9199999999992</v>
      </c>
      <c r="BT8" s="33">
        <v>5917.9199999999992</v>
      </c>
      <c r="BU8" s="33">
        <v>5917.9199999999992</v>
      </c>
      <c r="BV8" s="33">
        <v>6435.9999999999991</v>
      </c>
      <c r="BW8" s="33">
        <v>6927.9999999999991</v>
      </c>
      <c r="BX8" s="33">
        <v>7411.9999999999991</v>
      </c>
      <c r="BY8" s="33">
        <v>7811.9999999999991</v>
      </c>
      <c r="BZ8" s="33">
        <v>8131.9999999999991</v>
      </c>
      <c r="CA8" s="33">
        <v>8419.2000000000007</v>
      </c>
      <c r="CB8" s="33">
        <v>8639.2000000000007</v>
      </c>
      <c r="CC8" s="33">
        <v>8781.5999999999985</v>
      </c>
      <c r="CD8" s="33">
        <v>8861.5999999999985</v>
      </c>
      <c r="CE8" s="33">
        <v>8964.7999999999993</v>
      </c>
      <c r="CF8" s="33">
        <v>9028.7999999999993</v>
      </c>
      <c r="CG8" s="32">
        <v>9060.7999999999993</v>
      </c>
      <c r="CH8" s="33">
        <v>9140.7999999999993</v>
      </c>
      <c r="CI8" s="33">
        <v>9205.6</v>
      </c>
      <c r="CJ8" s="33">
        <v>9320.7999999999993</v>
      </c>
      <c r="CK8" s="33">
        <v>9440.7999999999993</v>
      </c>
      <c r="CL8" s="33">
        <v>9523.2000000000007</v>
      </c>
      <c r="CM8" s="33">
        <v>9603.2000000000007</v>
      </c>
      <c r="CN8" s="33">
        <v>9683.2000000000007</v>
      </c>
      <c r="CO8" s="33">
        <v>9763.2000000000007</v>
      </c>
      <c r="CP8" s="63">
        <v>9768</v>
      </c>
    </row>
    <row r="9" spans="1:94" x14ac:dyDescent="0.25">
      <c r="A9" s="37" t="s">
        <v>167</v>
      </c>
      <c r="B9" s="66">
        <f t="shared" ref="B9:AG9" si="3">+B7/$AZ$7</f>
        <v>2.8665028665028664E-3</v>
      </c>
      <c r="C9" s="45">
        <f t="shared" si="3"/>
        <v>6.9615069615069618E-3</v>
      </c>
      <c r="D9" s="45">
        <f t="shared" si="3"/>
        <v>1.1056511056511056E-2</v>
      </c>
      <c r="E9" s="45">
        <f t="shared" si="3"/>
        <v>1.5151515151515152E-2</v>
      </c>
      <c r="F9" s="45">
        <f t="shared" si="3"/>
        <v>1.9246519246519246E-2</v>
      </c>
      <c r="G9" s="45">
        <f t="shared" si="3"/>
        <v>2.334152334152334E-2</v>
      </c>
      <c r="H9" s="45">
        <f t="shared" si="3"/>
        <v>2.7436527436527438E-2</v>
      </c>
      <c r="I9" s="45">
        <f t="shared" si="3"/>
        <v>3.1531531531531529E-2</v>
      </c>
      <c r="J9" s="45">
        <f t="shared" si="3"/>
        <v>3.562653562653563E-2</v>
      </c>
      <c r="K9" s="45">
        <f t="shared" si="3"/>
        <v>3.9721539721539724E-2</v>
      </c>
      <c r="L9" s="45">
        <f t="shared" si="3"/>
        <v>4.3816543816543818E-2</v>
      </c>
      <c r="M9" s="45">
        <f t="shared" si="3"/>
        <v>4.7911547911547912E-2</v>
      </c>
      <c r="N9" s="45">
        <f t="shared" si="3"/>
        <v>4.8730548730548731E-2</v>
      </c>
      <c r="O9" s="45">
        <f t="shared" si="3"/>
        <v>5.4105241605241605E-2</v>
      </c>
      <c r="P9" s="45">
        <f t="shared" si="3"/>
        <v>6.0554873054873053E-2</v>
      </c>
      <c r="Q9" s="45">
        <f t="shared" si="3"/>
        <v>6.5366502866502862E-2</v>
      </c>
      <c r="R9" s="45">
        <f t="shared" si="3"/>
        <v>7.1816134316134317E-2</v>
      </c>
      <c r="S9" s="45">
        <f t="shared" si="3"/>
        <v>7.8265765765765771E-2</v>
      </c>
      <c r="T9" s="45">
        <f t="shared" si="3"/>
        <v>8.4715397215397212E-2</v>
      </c>
      <c r="U9" s="45">
        <f t="shared" si="3"/>
        <v>9.096027846027846E-2</v>
      </c>
      <c r="V9" s="45">
        <f t="shared" si="3"/>
        <v>0.11645167895167895</v>
      </c>
      <c r="W9" s="45">
        <f t="shared" si="3"/>
        <v>0.13667076167076167</v>
      </c>
      <c r="X9" s="45">
        <f t="shared" si="3"/>
        <v>0.15601965601965603</v>
      </c>
      <c r="Y9" s="45">
        <f t="shared" si="3"/>
        <v>0.17521498771498772</v>
      </c>
      <c r="Z9" s="45">
        <f t="shared" si="3"/>
        <v>0.19456388206388206</v>
      </c>
      <c r="AA9" s="45">
        <f t="shared" si="3"/>
        <v>0.21391277641277642</v>
      </c>
      <c r="AB9" s="45">
        <f t="shared" si="3"/>
        <v>0.22036240786240785</v>
      </c>
      <c r="AC9" s="45">
        <f t="shared" si="3"/>
        <v>0.23326167076167076</v>
      </c>
      <c r="AD9" s="45">
        <f t="shared" si="3"/>
        <v>0.25261056511056512</v>
      </c>
      <c r="AE9" s="45">
        <f t="shared" si="3"/>
        <v>0.27027027027027029</v>
      </c>
      <c r="AF9" s="45">
        <f t="shared" si="3"/>
        <v>0.2893120393120393</v>
      </c>
      <c r="AG9" s="45">
        <f t="shared" si="3"/>
        <v>0.30866093366093367</v>
      </c>
      <c r="AH9" s="45">
        <f t="shared" ref="AH9:AZ9" si="4">+AH7/$AZ$7</f>
        <v>0.32800982800982803</v>
      </c>
      <c r="AI9" s="45">
        <f t="shared" si="4"/>
        <v>0.34735872235872234</v>
      </c>
      <c r="AJ9" s="45">
        <f t="shared" si="4"/>
        <v>0.3667076167076167</v>
      </c>
      <c r="AK9" s="45">
        <f t="shared" si="4"/>
        <v>0.38605651105651106</v>
      </c>
      <c r="AL9" s="45">
        <f t="shared" si="4"/>
        <v>0.40540540540540543</v>
      </c>
      <c r="AM9" s="45">
        <f t="shared" si="4"/>
        <v>0.42475429975429974</v>
      </c>
      <c r="AN9" s="45">
        <f t="shared" si="4"/>
        <v>0.48730548730548728</v>
      </c>
      <c r="AO9" s="45">
        <f t="shared" si="4"/>
        <v>0.55226248976248982</v>
      </c>
      <c r="AP9" s="45">
        <f t="shared" si="4"/>
        <v>0.59526003276003281</v>
      </c>
      <c r="AQ9" s="45">
        <f t="shared" si="4"/>
        <v>0.63324119574119575</v>
      </c>
      <c r="AR9" s="45">
        <f t="shared" si="4"/>
        <v>0.69778869778869779</v>
      </c>
      <c r="AS9" s="45">
        <f t="shared" si="4"/>
        <v>0.76161957411957415</v>
      </c>
      <c r="AT9" s="45">
        <f t="shared" si="4"/>
        <v>0.82202088452088451</v>
      </c>
      <c r="AU9" s="45">
        <f t="shared" si="4"/>
        <v>0.87315724815724816</v>
      </c>
      <c r="AV9" s="45">
        <f t="shared" si="4"/>
        <v>0.91159909909909909</v>
      </c>
      <c r="AW9" s="45">
        <f t="shared" si="4"/>
        <v>0.93944512694512694</v>
      </c>
      <c r="AX9" s="45">
        <f t="shared" si="4"/>
        <v>0.96109746109746108</v>
      </c>
      <c r="AY9" s="45">
        <f t="shared" si="4"/>
        <v>0.97829647829647826</v>
      </c>
      <c r="AZ9" s="45">
        <f t="shared" si="4"/>
        <v>1</v>
      </c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51"/>
    </row>
    <row r="10" spans="1:94" x14ac:dyDescent="0.25">
      <c r="A10" s="37" t="s">
        <v>165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>
        <v>0.61772954924874801</v>
      </c>
      <c r="BV10" s="45">
        <f t="shared" ref="BV10" si="5">+BV8/$AZ$7</f>
        <v>0.65888615888615876</v>
      </c>
      <c r="BW10" s="45">
        <f t="shared" ref="BW10:CK10" si="6">+BW8/$AZ$7</f>
        <v>0.70925470925470913</v>
      </c>
      <c r="BX10" s="45">
        <f t="shared" si="6"/>
        <v>0.75880425880425872</v>
      </c>
      <c r="BY10" s="45">
        <f t="shared" si="6"/>
        <v>0.79975429975429968</v>
      </c>
      <c r="BZ10" s="45">
        <f t="shared" si="6"/>
        <v>0.83251433251433238</v>
      </c>
      <c r="CA10" s="45">
        <f t="shared" si="6"/>
        <v>0.86191646191646198</v>
      </c>
      <c r="CB10" s="45">
        <f t="shared" si="6"/>
        <v>0.8844389844389845</v>
      </c>
      <c r="CC10" s="45">
        <f t="shared" si="6"/>
        <v>0.8990171990171989</v>
      </c>
      <c r="CD10" s="45">
        <f t="shared" si="6"/>
        <v>0.90720720720720704</v>
      </c>
      <c r="CE10" s="45">
        <f t="shared" si="6"/>
        <v>0.91777231777231771</v>
      </c>
      <c r="CF10" s="45">
        <f t="shared" si="6"/>
        <v>0.92432432432432421</v>
      </c>
      <c r="CG10" s="45">
        <f t="shared" si="6"/>
        <v>0.92760032760032751</v>
      </c>
      <c r="CH10" s="45">
        <f t="shared" si="6"/>
        <v>0.93579033579033577</v>
      </c>
      <c r="CI10" s="45">
        <f t="shared" si="6"/>
        <v>0.9424242424242425</v>
      </c>
      <c r="CJ10" s="45">
        <f t="shared" si="6"/>
        <v>0.9542178542178541</v>
      </c>
      <c r="CK10" s="45">
        <f t="shared" si="6"/>
        <v>0.96650286650286643</v>
      </c>
      <c r="CL10" s="45">
        <f t="shared" ref="CL10:CP10" si="7">+CL8/$AZ$7</f>
        <v>0.97493857493857505</v>
      </c>
      <c r="CM10" s="45">
        <f t="shared" si="7"/>
        <v>0.9831285831285832</v>
      </c>
      <c r="CN10" s="45">
        <f t="shared" si="7"/>
        <v>0.99131859131859135</v>
      </c>
      <c r="CO10" s="45">
        <f t="shared" si="7"/>
        <v>0.9995085995085996</v>
      </c>
      <c r="CP10" s="51">
        <f t="shared" si="7"/>
        <v>1</v>
      </c>
    </row>
    <row r="11" spans="1:94" x14ac:dyDescent="0.25">
      <c r="A11" s="52" t="s">
        <v>166</v>
      </c>
      <c r="B11" s="66">
        <v>2.9215358931552588E-3</v>
      </c>
      <c r="C11" s="45">
        <v>7.0951585976627716E-3</v>
      </c>
      <c r="D11" s="45">
        <v>1.1268781302170284E-2</v>
      </c>
      <c r="E11" s="45">
        <v>1.5442404006677797E-2</v>
      </c>
      <c r="F11" s="45">
        <v>1.961602671118531E-2</v>
      </c>
      <c r="G11" s="45">
        <v>2.378964941569282E-2</v>
      </c>
      <c r="H11" s="45">
        <v>2.7963272120200333E-2</v>
      </c>
      <c r="I11" s="45">
        <v>3.213689482470785E-2</v>
      </c>
      <c r="J11" s="45">
        <v>3.631051752921536E-2</v>
      </c>
      <c r="K11" s="45">
        <v>4.0484140233722869E-2</v>
      </c>
      <c r="L11" s="45">
        <v>4.4657762938230386E-2</v>
      </c>
      <c r="M11" s="45">
        <v>4.8831385642737896E-2</v>
      </c>
      <c r="N11" s="45">
        <v>5.5143989983305511E-2</v>
      </c>
      <c r="O11" s="45">
        <v>5.5143989983305511E-2</v>
      </c>
      <c r="P11" s="45">
        <v>6.6621452420701166E-2</v>
      </c>
      <c r="Q11" s="45">
        <v>7.31949081803005E-2</v>
      </c>
      <c r="R11" s="45">
        <v>7.9768363939899833E-2</v>
      </c>
      <c r="S11" s="45">
        <v>8.764607679465776E-2</v>
      </c>
      <c r="T11" s="45">
        <v>8.9273789649415694E-2</v>
      </c>
      <c r="U11" s="45">
        <v>9.3906510851419031E-2</v>
      </c>
      <c r="V11" s="45">
        <v>9.891485809682804E-2</v>
      </c>
      <c r="W11" s="45">
        <v>0.10459098497495826</v>
      </c>
      <c r="X11" s="45">
        <v>0.10559265442404006</v>
      </c>
      <c r="Y11" s="45">
        <v>0.10799248747913189</v>
      </c>
      <c r="Z11" s="45">
        <v>0.11068447412353923</v>
      </c>
      <c r="AA11" s="45">
        <v>0.11216611018363939</v>
      </c>
      <c r="AB11" s="45">
        <v>0.11425292153589316</v>
      </c>
      <c r="AC11" s="45">
        <v>0.11425292153589316</v>
      </c>
      <c r="AD11" s="45">
        <v>0.11529632721202003</v>
      </c>
      <c r="AE11" s="45">
        <v>0.11790484140233723</v>
      </c>
      <c r="AF11" s="45">
        <v>0.11915692821368948</v>
      </c>
      <c r="AG11" s="45">
        <v>0.11999165275459099</v>
      </c>
      <c r="AH11" s="45">
        <v>0.12468697829716194</v>
      </c>
      <c r="AI11" s="45">
        <v>0.14440734557595994</v>
      </c>
      <c r="AJ11" s="45">
        <v>0.15375626043405674</v>
      </c>
      <c r="AK11" s="45">
        <v>0.16569282099999999</v>
      </c>
      <c r="AL11" s="45">
        <v>0.18017529215358929</v>
      </c>
      <c r="AM11" s="45">
        <v>0.18985809682804675</v>
      </c>
      <c r="AN11" s="45">
        <v>0.19282136894824708</v>
      </c>
      <c r="AO11" s="45">
        <v>0.1957846410684474</v>
      </c>
      <c r="AP11" s="45">
        <v>0.20755425709515862</v>
      </c>
      <c r="AQ11" s="45">
        <v>0.20755425709515862</v>
      </c>
      <c r="AR11" s="45">
        <v>0.23672787979966614</v>
      </c>
      <c r="AS11" s="45">
        <v>0.24545075125208676</v>
      </c>
      <c r="AT11" s="45">
        <v>0.28611853088480799</v>
      </c>
      <c r="AU11" s="45">
        <v>0.30265442404006682</v>
      </c>
      <c r="AV11" s="45">
        <v>0.31662771285475799</v>
      </c>
      <c r="AW11" s="45">
        <v>0.33494156928213692</v>
      </c>
      <c r="AX11" s="45">
        <v>0.33594156928213698</v>
      </c>
      <c r="AY11" s="45">
        <v>0.3486727879799667</v>
      </c>
      <c r="AZ11" s="45">
        <v>0.37162771285475799</v>
      </c>
      <c r="BA11" s="45">
        <v>0.38</v>
      </c>
      <c r="BB11" s="45">
        <v>0.39</v>
      </c>
      <c r="BC11" s="45">
        <v>0.4</v>
      </c>
      <c r="BD11" s="45">
        <v>0.40598689598689602</v>
      </c>
      <c r="BE11" s="45">
        <v>0.40598689598689602</v>
      </c>
      <c r="BF11" s="45">
        <v>0.44591819699499158</v>
      </c>
      <c r="BG11" s="45">
        <v>0.48829716193656098</v>
      </c>
      <c r="BH11" s="45">
        <v>0.52092654424040064</v>
      </c>
      <c r="BI11" s="45">
        <v>0.52880634400000004</v>
      </c>
      <c r="BJ11" s="45">
        <v>0.54252921535893162</v>
      </c>
      <c r="BK11" s="45">
        <v>0.55257095158597669</v>
      </c>
      <c r="BL11" s="45">
        <v>0.56423205342237071</v>
      </c>
      <c r="BM11" s="45">
        <v>0.57153589299999996</v>
      </c>
      <c r="BN11" s="45">
        <v>0.57938230383973277</v>
      </c>
      <c r="BO11" s="45">
        <v>0.59</v>
      </c>
      <c r="BP11" s="45">
        <v>0.59520033400000005</v>
      </c>
      <c r="BQ11" s="45">
        <v>0.59820534199999997</v>
      </c>
      <c r="BR11" s="45">
        <v>0.6096327212020034</v>
      </c>
      <c r="BS11" s="45">
        <v>0.6096327212020034</v>
      </c>
      <c r="BT11" s="45">
        <v>0.61272120200333902</v>
      </c>
      <c r="BU11" s="45">
        <v>0.61772954924874801</v>
      </c>
      <c r="BV11" s="45">
        <v>0.62040901502504164</v>
      </c>
      <c r="BW11" s="45"/>
      <c r="BX11" s="45"/>
      <c r="BY11" s="45"/>
      <c r="BZ11" s="45"/>
      <c r="CA11" s="45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4"/>
    </row>
    <row r="12" spans="1:94" x14ac:dyDescent="0.25">
      <c r="A12" s="55" t="s">
        <v>74</v>
      </c>
      <c r="B12" s="56">
        <f>B9-B11</f>
        <v>-5.5033026652392437E-5</v>
      </c>
      <c r="C12" s="56">
        <f t="shared" ref="C12:E12" si="8">C9-C11</f>
        <v>-1.3365163615580971E-4</v>
      </c>
      <c r="D12" s="56">
        <f t="shared" si="8"/>
        <v>-2.1227024565922785E-4</v>
      </c>
      <c r="E12" s="56">
        <f t="shared" si="8"/>
        <v>-2.9088885516264512E-4</v>
      </c>
      <c r="F12" s="56">
        <f>F9-F11</f>
        <v>-3.6950746466606413E-4</v>
      </c>
      <c r="G12" s="56">
        <f t="shared" ref="G12:H12" si="9">G9-G11</f>
        <v>-4.4812607416947967E-4</v>
      </c>
      <c r="H12" s="56">
        <f t="shared" si="9"/>
        <v>-5.267446836728952E-4</v>
      </c>
      <c r="I12" s="56">
        <f>I9-I11</f>
        <v>-6.0536329317632115E-4</v>
      </c>
      <c r="J12" s="56">
        <f t="shared" ref="J12:L12" si="10">J9-J11</f>
        <v>-6.8398190267972975E-4</v>
      </c>
      <c r="K12" s="56">
        <f t="shared" si="10"/>
        <v>-7.6260051218314528E-4</v>
      </c>
      <c r="L12" s="56">
        <f t="shared" si="10"/>
        <v>-8.4121912168656776E-4</v>
      </c>
      <c r="M12" s="56">
        <f>M9-M11</f>
        <v>-9.198377311899833E-4</v>
      </c>
      <c r="N12" s="56">
        <f t="shared" ref="N12:O12" si="11">N9-N11</f>
        <v>-6.4134412527567797E-3</v>
      </c>
      <c r="O12" s="56">
        <f t="shared" si="11"/>
        <v>-1.0387483780639056E-3</v>
      </c>
      <c r="P12" s="56">
        <f>P9-P11</f>
        <v>-6.0665793658281134E-3</v>
      </c>
      <c r="Q12" s="56">
        <f t="shared" ref="Q12:S12" si="12">Q9-Q11</f>
        <v>-7.8284053137976373E-3</v>
      </c>
      <c r="R12" s="56">
        <f t="shared" si="12"/>
        <v>-7.9522296237655166E-3</v>
      </c>
      <c r="S12" s="56">
        <f t="shared" si="12"/>
        <v>-9.3803110288919883E-3</v>
      </c>
      <c r="T12" s="56">
        <f>T9-T11</f>
        <v>-4.5583924340184823E-3</v>
      </c>
      <c r="U12" s="56">
        <f t="shared" ref="U12:V12" si="13">U9-U11</f>
        <v>-2.9462323911405713E-3</v>
      </c>
      <c r="V12" s="56">
        <f t="shared" si="13"/>
        <v>1.7536820854850907E-2</v>
      </c>
      <c r="W12" s="56">
        <f>W9-W11</f>
        <v>3.2079776695803405E-2</v>
      </c>
      <c r="X12" s="56">
        <f t="shared" ref="X12:Z12" si="14">X9-X11</f>
        <v>5.0427001595615972E-2</v>
      </c>
      <c r="Y12" s="56">
        <f t="shared" si="14"/>
        <v>6.7222500235855839E-2</v>
      </c>
      <c r="Z12" s="56">
        <f t="shared" si="14"/>
        <v>8.3879407940342834E-2</v>
      </c>
      <c r="AA12" s="56">
        <f>AA9-AA11</f>
        <v>0.10174666622913703</v>
      </c>
      <c r="AB12" s="56">
        <f t="shared" ref="AB12:AC12" si="15">AB9-AB11</f>
        <v>0.10610948632651469</v>
      </c>
      <c r="AC12" s="56">
        <f t="shared" si="15"/>
        <v>0.1190087492257776</v>
      </c>
      <c r="AD12" s="56">
        <f>AD9-AD11</f>
        <v>0.13731423789854508</v>
      </c>
      <c r="AE12" s="56">
        <f t="shared" ref="AE12:AG12" si="16">AE9-AE11</f>
        <v>0.15236542886793306</v>
      </c>
      <c r="AF12" s="56">
        <f t="shared" si="16"/>
        <v>0.17015511109834983</v>
      </c>
      <c r="AG12" s="56">
        <f t="shared" si="16"/>
        <v>0.18866928090634266</v>
      </c>
      <c r="AH12" s="56">
        <f>AH9-AH11</f>
        <v>0.20332284971266609</v>
      </c>
      <c r="AI12" s="56">
        <f t="shared" ref="AI12" si="17">AI9-AI11</f>
        <v>0.2029513767827624</v>
      </c>
      <c r="AJ12" s="56">
        <f>AJ9-AJ11</f>
        <v>0.21295135627355996</v>
      </c>
      <c r="AK12" s="56">
        <f t="shared" ref="AK12:AM12" si="18">AK9-AK11</f>
        <v>0.22036369005651107</v>
      </c>
      <c r="AL12" s="56">
        <f t="shared" si="18"/>
        <v>0.22523011325181613</v>
      </c>
      <c r="AM12" s="56">
        <f t="shared" si="18"/>
        <v>0.23489620292625299</v>
      </c>
      <c r="AN12" s="56">
        <f>AN9-AN11</f>
        <v>0.2944841183572402</v>
      </c>
      <c r="AO12" s="56">
        <f t="shared" ref="AO12:AP12" si="19">AO9-AO11</f>
        <v>0.35647784869404242</v>
      </c>
      <c r="AP12" s="56">
        <f t="shared" si="19"/>
        <v>0.38770577566487419</v>
      </c>
      <c r="AQ12" s="56">
        <f>AQ9-AQ11</f>
        <v>0.42568693864603713</v>
      </c>
      <c r="AR12" s="56">
        <f t="shared" ref="AR12:AT12" si="20">AR9-AR11</f>
        <v>0.46106081798903165</v>
      </c>
      <c r="AS12" s="56">
        <f t="shared" si="20"/>
        <v>0.51616882286748744</v>
      </c>
      <c r="AT12" s="56">
        <f t="shared" si="20"/>
        <v>0.53590235363607652</v>
      </c>
      <c r="AU12" s="56">
        <f>AU9-AU11</f>
        <v>0.57050282411718134</v>
      </c>
      <c r="AV12" s="56">
        <f t="shared" ref="AV12:AW12" si="21">AV9-AV11</f>
        <v>0.59497138624434109</v>
      </c>
      <c r="AW12" s="56">
        <f t="shared" si="21"/>
        <v>0.60450355766299002</v>
      </c>
      <c r="AX12" s="56">
        <f>AX9-AX11</f>
        <v>0.62515589181532416</v>
      </c>
      <c r="AY12" s="56">
        <f t="shared" ref="AY12" si="22">AY9-AY11</f>
        <v>0.62962369031651155</v>
      </c>
      <c r="AZ12" s="56">
        <f>AZ9-AZ11</f>
        <v>0.62837228714524196</v>
      </c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>
        <f>BU10-BU11</f>
        <v>0</v>
      </c>
      <c r="BV12" s="56">
        <f>BV10-BV11</f>
        <v>3.8477143861117113E-2</v>
      </c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7"/>
    </row>
    <row r="13" spans="1:94" hidden="1" x14ac:dyDescent="0.25">
      <c r="A13" s="68" t="s">
        <v>168</v>
      </c>
      <c r="BU13" s="67">
        <v>1</v>
      </c>
    </row>
    <row r="14" spans="1:94" x14ac:dyDescent="0.25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A197-47EF-4293-9A23-D3C76F2B078C}">
  <sheetPr>
    <tabColor rgb="FF00FF00"/>
  </sheetPr>
  <dimension ref="A1:CK12"/>
  <sheetViews>
    <sheetView topLeftCell="AZ1" zoomScale="70" zoomScaleNormal="70" workbookViewId="0">
      <selection activeCell="CL32" sqref="CL31:CL32"/>
    </sheetView>
  </sheetViews>
  <sheetFormatPr defaultRowHeight="13.2" x14ac:dyDescent="0.25"/>
  <cols>
    <col min="1" max="1" width="15.21875" bestFit="1" customWidth="1"/>
  </cols>
  <sheetData>
    <row r="1" spans="1:89" x14ac:dyDescent="0.25">
      <c r="A1" s="30"/>
      <c r="B1" s="31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29" t="s">
        <v>2</v>
      </c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</row>
    <row r="2" spans="1:89" x14ac:dyDescent="0.25">
      <c r="A2" s="34"/>
      <c r="B2" s="35" t="s">
        <v>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 t="s">
        <v>5</v>
      </c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 t="s">
        <v>6</v>
      </c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 t="s">
        <v>7</v>
      </c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 t="s">
        <v>4</v>
      </c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 t="s">
        <v>5</v>
      </c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 t="s">
        <v>6</v>
      </c>
      <c r="CH2" s="35"/>
      <c r="CI2" s="35"/>
      <c r="CJ2" s="35"/>
      <c r="CK2" s="36"/>
    </row>
    <row r="3" spans="1:89" x14ac:dyDescent="0.25">
      <c r="A3" s="37" t="s">
        <v>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9"/>
    </row>
    <row r="4" spans="1:89" x14ac:dyDescent="0.25">
      <c r="A4" s="40"/>
      <c r="B4" s="41" t="s">
        <v>106</v>
      </c>
      <c r="C4" s="41" t="s">
        <v>107</v>
      </c>
      <c r="D4" s="41" t="s">
        <v>108</v>
      </c>
      <c r="E4" s="41" t="s">
        <v>109</v>
      </c>
      <c r="F4" s="41" t="s">
        <v>110</v>
      </c>
      <c r="G4" s="41" t="s">
        <v>111</v>
      </c>
      <c r="H4" s="41" t="s">
        <v>112</v>
      </c>
      <c r="I4" s="41" t="s">
        <v>113</v>
      </c>
      <c r="J4" s="41" t="s">
        <v>114</v>
      </c>
      <c r="K4" s="41" t="s">
        <v>115</v>
      </c>
      <c r="L4" s="41" t="s">
        <v>116</v>
      </c>
      <c r="M4" s="41" t="s">
        <v>117</v>
      </c>
      <c r="N4" s="41" t="s">
        <v>118</v>
      </c>
      <c r="O4" s="41" t="s">
        <v>118</v>
      </c>
      <c r="P4" s="41" t="s">
        <v>119</v>
      </c>
      <c r="Q4" s="41" t="s">
        <v>120</v>
      </c>
      <c r="R4" s="41" t="s">
        <v>121</v>
      </c>
      <c r="S4" s="41" t="s">
        <v>122</v>
      </c>
      <c r="T4" s="41" t="s">
        <v>123</v>
      </c>
      <c r="U4" s="41" t="s">
        <v>124</v>
      </c>
      <c r="V4" s="41" t="s">
        <v>125</v>
      </c>
      <c r="W4" s="41" t="s">
        <v>126</v>
      </c>
      <c r="X4" s="41" t="s">
        <v>127</v>
      </c>
      <c r="Y4" s="41" t="s">
        <v>128</v>
      </c>
      <c r="Z4" s="41" t="s">
        <v>129</v>
      </c>
      <c r="AA4" s="41" t="s">
        <v>130</v>
      </c>
      <c r="AB4" s="41" t="s">
        <v>131</v>
      </c>
      <c r="AC4" s="41" t="s">
        <v>131</v>
      </c>
      <c r="AD4" s="41" t="s">
        <v>132</v>
      </c>
      <c r="AE4" s="41" t="s">
        <v>133</v>
      </c>
      <c r="AF4" s="41" t="s">
        <v>134</v>
      </c>
      <c r="AG4" s="41" t="s">
        <v>135</v>
      </c>
      <c r="AH4" s="41" t="s">
        <v>136</v>
      </c>
      <c r="AI4" s="41" t="s">
        <v>137</v>
      </c>
      <c r="AJ4" s="41" t="s">
        <v>138</v>
      </c>
      <c r="AK4" s="41" t="s">
        <v>139</v>
      </c>
      <c r="AL4" s="41" t="s">
        <v>140</v>
      </c>
      <c r="AM4" s="41" t="s">
        <v>141</v>
      </c>
      <c r="AN4" s="41" t="s">
        <v>142</v>
      </c>
      <c r="AO4" s="41" t="s">
        <v>143</v>
      </c>
      <c r="AP4" s="41" t="s">
        <v>144</v>
      </c>
      <c r="AQ4" s="41" t="s">
        <v>144</v>
      </c>
      <c r="AR4" s="41" t="s">
        <v>145</v>
      </c>
      <c r="AS4" s="41" t="s">
        <v>146</v>
      </c>
      <c r="AT4" s="41" t="s">
        <v>147</v>
      </c>
      <c r="AU4" s="41" t="s">
        <v>148</v>
      </c>
      <c r="AV4" s="41" t="s">
        <v>149</v>
      </c>
      <c r="AW4" s="41" t="s">
        <v>150</v>
      </c>
      <c r="AX4" s="41" t="s">
        <v>151</v>
      </c>
      <c r="AY4" s="41" t="s">
        <v>152</v>
      </c>
      <c r="AZ4" s="41" t="s">
        <v>153</v>
      </c>
      <c r="BA4" s="41" t="s">
        <v>154</v>
      </c>
      <c r="BB4" s="41" t="s">
        <v>155</v>
      </c>
      <c r="BC4" s="41" t="s">
        <v>156</v>
      </c>
      <c r="BD4" s="41" t="s">
        <v>157</v>
      </c>
      <c r="BE4" s="41" t="s">
        <v>157</v>
      </c>
      <c r="BF4" s="41" t="s">
        <v>106</v>
      </c>
      <c r="BG4" s="41" t="s">
        <v>107</v>
      </c>
      <c r="BH4" s="41" t="s">
        <v>108</v>
      </c>
      <c r="BI4" s="41" t="s">
        <v>109</v>
      </c>
      <c r="BJ4" s="41" t="s">
        <v>110</v>
      </c>
      <c r="BK4" s="41" t="s">
        <v>111</v>
      </c>
      <c r="BL4" s="41" t="s">
        <v>112</v>
      </c>
      <c r="BM4" s="41" t="s">
        <v>113</v>
      </c>
      <c r="BN4" s="41" t="s">
        <v>114</v>
      </c>
      <c r="BO4" s="41" t="s">
        <v>115</v>
      </c>
      <c r="BP4" s="41" t="s">
        <v>116</v>
      </c>
      <c r="BQ4" s="41" t="s">
        <v>117</v>
      </c>
      <c r="BR4" s="41" t="s">
        <v>118</v>
      </c>
      <c r="BS4" s="41" t="s">
        <v>118</v>
      </c>
      <c r="BT4" s="41" t="s">
        <v>119</v>
      </c>
      <c r="BU4" s="41" t="s">
        <v>120</v>
      </c>
      <c r="BV4" s="41" t="s">
        <v>121</v>
      </c>
      <c r="BW4" s="41" t="s">
        <v>122</v>
      </c>
      <c r="BX4" s="41" t="s">
        <v>123</v>
      </c>
      <c r="BY4" s="41" t="s">
        <v>124</v>
      </c>
      <c r="BZ4" s="41" t="s">
        <v>125</v>
      </c>
      <c r="CA4" s="41" t="s">
        <v>126</v>
      </c>
      <c r="CB4" s="41" t="s">
        <v>127</v>
      </c>
      <c r="CC4" s="41" t="s">
        <v>128</v>
      </c>
      <c r="CD4" s="41" t="s">
        <v>129</v>
      </c>
      <c r="CE4" s="41" t="s">
        <v>130</v>
      </c>
      <c r="CF4" s="41" t="s">
        <v>131</v>
      </c>
      <c r="CG4" s="41" t="s">
        <v>131</v>
      </c>
      <c r="CH4" s="41" t="s">
        <v>132</v>
      </c>
      <c r="CI4" s="41" t="s">
        <v>133</v>
      </c>
      <c r="CJ4" s="41" t="s">
        <v>134</v>
      </c>
      <c r="CK4" s="42" t="s">
        <v>135</v>
      </c>
    </row>
    <row r="5" spans="1:89" x14ac:dyDescent="0.25">
      <c r="A5" s="37" t="s">
        <v>163</v>
      </c>
      <c r="B5" s="43">
        <v>2.9215358931552588E-3</v>
      </c>
      <c r="C5" s="44">
        <v>4.1736227045075132E-3</v>
      </c>
      <c r="D5" s="44">
        <v>4.1736227045075123E-3</v>
      </c>
      <c r="E5" s="44">
        <v>4.1736227045075132E-3</v>
      </c>
      <c r="F5" s="44">
        <v>4.1736227045075132E-3</v>
      </c>
      <c r="G5" s="44">
        <v>4.1736227045075097E-3</v>
      </c>
      <c r="H5" s="44">
        <v>4.1736227045075132E-3</v>
      </c>
      <c r="I5" s="44">
        <v>4.1736227045075167E-3</v>
      </c>
      <c r="J5" s="44">
        <v>4.1736227045075097E-3</v>
      </c>
      <c r="K5" s="44">
        <v>4.1736227045075097E-3</v>
      </c>
      <c r="L5" s="44">
        <v>4.1736227045075167E-3</v>
      </c>
      <c r="M5" s="44">
        <v>4.1736227045075097E-3</v>
      </c>
      <c r="N5" s="44">
        <v>6.3126043405676152E-3</v>
      </c>
      <c r="O5" s="44">
        <v>6.5734557595993337E-3</v>
      </c>
      <c r="P5" s="44">
        <v>4.9040066777963215E-3</v>
      </c>
      <c r="Q5" s="44">
        <v>6.5734557595993337E-3</v>
      </c>
      <c r="R5" s="44">
        <v>6.5734557595993337E-3</v>
      </c>
      <c r="S5" s="44">
        <v>6.5734557595993337E-3</v>
      </c>
      <c r="T5" s="44">
        <v>6.3647746243739589E-3</v>
      </c>
      <c r="U5" s="44">
        <v>2.5980801335559259E-2</v>
      </c>
      <c r="V5" s="44">
        <v>2.0607262103505844E-2</v>
      </c>
      <c r="W5" s="44">
        <v>1.9720367278798001E-2</v>
      </c>
      <c r="X5" s="44">
        <v>1.9563856427378956E-2</v>
      </c>
      <c r="Y5" s="44">
        <v>1.9720367278798001E-2</v>
      </c>
      <c r="Z5" s="44">
        <v>1.9720367278798001E-2</v>
      </c>
      <c r="AA5" s="44">
        <v>1.9720367278798001E-2</v>
      </c>
      <c r="AB5" s="44">
        <v>1.9720367278797973E-2</v>
      </c>
      <c r="AC5" s="44">
        <v>1.7998747913188673E-2</v>
      </c>
      <c r="AD5" s="44">
        <v>1.9407345575959911E-2</v>
      </c>
      <c r="AE5" s="44">
        <v>1.9720367278798001E-2</v>
      </c>
      <c r="AF5" s="44">
        <v>1.9720367278798001E-2</v>
      </c>
      <c r="AG5" s="44">
        <v>1.9720367278798001E-2</v>
      </c>
      <c r="AH5" s="44">
        <v>1.9720367278798001E-2</v>
      </c>
      <c r="AI5" s="44">
        <v>1.9720367278798001E-2</v>
      </c>
      <c r="AJ5" s="44">
        <v>1.9720367278798001E-2</v>
      </c>
      <c r="AK5" s="44">
        <v>1.9720367278798001E-2</v>
      </c>
      <c r="AL5" s="44">
        <v>6.3752086811352249E-2</v>
      </c>
      <c r="AM5" s="44">
        <v>6.6204090150250416E-2</v>
      </c>
      <c r="AN5" s="44">
        <v>4.3823038397328817E-2</v>
      </c>
      <c r="AO5" s="44">
        <v>3.8710350584307274E-2</v>
      </c>
      <c r="AP5" s="44">
        <v>6.5786727879799667E-2</v>
      </c>
      <c r="AQ5" s="44">
        <v>6.5056343906510827E-2</v>
      </c>
      <c r="AR5" s="44">
        <v>6.1560934891485841E-2</v>
      </c>
      <c r="AS5" s="44">
        <v>5.2118113522537479E-2</v>
      </c>
      <c r="AT5" s="44">
        <v>3.9179883138564353E-2</v>
      </c>
      <c r="AU5" s="44">
        <v>2.8380634390651083E-2</v>
      </c>
      <c r="AV5" s="44">
        <v>2.2068030050083398E-2</v>
      </c>
      <c r="AW5" s="44">
        <v>1.7529215358931594E-2</v>
      </c>
      <c r="AX5" s="44">
        <v>2.9215358931552471E-3</v>
      </c>
      <c r="AY5" s="44"/>
      <c r="AZ5" s="44"/>
      <c r="BA5" s="43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5">
        <f>+BR10-BQ10</f>
        <v>4.1156609637410746E-2</v>
      </c>
      <c r="BS5" s="45">
        <f t="shared" ref="BS5:CJ5" si="0">+BS10-BR10</f>
        <v>5.0368550368550369E-2</v>
      </c>
      <c r="BT5" s="45">
        <f t="shared" si="0"/>
        <v>4.9549549549549599E-2</v>
      </c>
      <c r="BU5" s="45">
        <f t="shared" si="0"/>
        <v>4.0950040950040956E-2</v>
      </c>
      <c r="BV5" s="45">
        <f t="shared" si="0"/>
        <v>3.2760032760032698E-2</v>
      </c>
      <c r="BW5" s="45">
        <f t="shared" si="0"/>
        <v>2.9402129402129606E-2</v>
      </c>
      <c r="BX5" s="45">
        <f t="shared" si="0"/>
        <v>2.2522522522522515E-2</v>
      </c>
      <c r="BY5" s="45">
        <f t="shared" si="0"/>
        <v>1.4578214578214399E-2</v>
      </c>
      <c r="BZ5" s="45">
        <f t="shared" si="0"/>
        <v>8.1900081900081467E-3</v>
      </c>
      <c r="CA5" s="45">
        <f t="shared" si="0"/>
        <v>1.0565110565110669E-2</v>
      </c>
      <c r="CB5" s="45">
        <f t="shared" si="0"/>
        <v>9.8280098280097983E-3</v>
      </c>
      <c r="CC5" s="45">
        <f t="shared" si="0"/>
        <v>8.1900081900082577E-3</v>
      </c>
      <c r="CD5" s="45">
        <f t="shared" si="0"/>
        <v>6.6339066339067276E-3</v>
      </c>
      <c r="CE5" s="45">
        <f t="shared" si="0"/>
        <v>1.1793611793611603E-2</v>
      </c>
      <c r="CF5" s="45">
        <f t="shared" si="0"/>
        <v>1.2285012285012331E-2</v>
      </c>
      <c r="CG5" s="45">
        <f t="shared" si="0"/>
        <v>8.4357084357086221E-3</v>
      </c>
      <c r="CH5" s="45">
        <f t="shared" si="0"/>
        <v>8.1900081900081467E-3</v>
      </c>
      <c r="CI5" s="45">
        <f t="shared" si="0"/>
        <v>8.1900081900081467E-3</v>
      </c>
      <c r="CJ5" s="45">
        <f t="shared" si="0"/>
        <v>8.1900081900082577E-3</v>
      </c>
      <c r="CK5" s="42"/>
    </row>
    <row r="6" spans="1:89" x14ac:dyDescent="0.25">
      <c r="A6" s="37" t="s">
        <v>164</v>
      </c>
      <c r="B6" s="43">
        <v>2.9215358931552588E-3</v>
      </c>
      <c r="C6" s="44">
        <v>4.1736227045075132E-3</v>
      </c>
      <c r="D6" s="44">
        <v>4.1736227045075123E-3</v>
      </c>
      <c r="E6" s="44">
        <v>4.1736227045075132E-3</v>
      </c>
      <c r="F6" s="44">
        <v>4.1736227045075132E-3</v>
      </c>
      <c r="G6" s="44">
        <v>4.1736227045075097E-3</v>
      </c>
      <c r="H6" s="44">
        <v>4.1736227045075132E-3</v>
      </c>
      <c r="I6" s="44">
        <v>4.1736227045075167E-3</v>
      </c>
      <c r="J6" s="44">
        <v>4.1736227045075097E-3</v>
      </c>
      <c r="K6" s="44">
        <v>4.1736227045075097E-3</v>
      </c>
      <c r="L6" s="44">
        <v>4.1736227045075167E-3</v>
      </c>
      <c r="M6" s="44">
        <v>4.1736227045075097E-3</v>
      </c>
      <c r="N6" s="44">
        <v>6.3126043405676152E-3</v>
      </c>
      <c r="O6" s="44">
        <v>6.5734557595993337E-3</v>
      </c>
      <c r="P6" s="44">
        <v>4.9040066777963215E-3</v>
      </c>
      <c r="Q6" s="44">
        <v>6.5734557595993337E-3</v>
      </c>
      <c r="R6" s="44">
        <v>6.5734557595993337E-3</v>
      </c>
      <c r="S6" s="44">
        <v>7.8777128547579262E-3</v>
      </c>
      <c r="T6" s="44">
        <v>1.6277128547579345E-3</v>
      </c>
      <c r="U6" s="44">
        <v>4.632721202003337E-3</v>
      </c>
      <c r="V6" s="44">
        <v>5.0083472454090089E-3</v>
      </c>
      <c r="W6" s="44">
        <v>5.6761268781302249E-3</v>
      </c>
      <c r="X6" s="44">
        <v>1.0016694490817962E-3</v>
      </c>
      <c r="Y6" s="44">
        <v>2.399833055091824E-3</v>
      </c>
      <c r="Z6" s="44">
        <v>2.6919866444073404E-3</v>
      </c>
      <c r="AA6" s="44">
        <v>1.4816360601001693E-3</v>
      </c>
      <c r="AB6" s="44">
        <v>2.0868113522537618E-3</v>
      </c>
      <c r="AC6" s="44">
        <v>1.043405676126874E-3</v>
      </c>
      <c r="AD6" s="44">
        <v>2.6085141903171988E-3</v>
      </c>
      <c r="AE6" s="44">
        <v>1.2520868113522488E-3</v>
      </c>
      <c r="AF6" s="44">
        <v>8.3472454090151305E-4</v>
      </c>
      <c r="AG6" s="44">
        <v>4.6953255425709467E-3</v>
      </c>
      <c r="AH6" s="44">
        <v>1.9720367278798001E-2</v>
      </c>
      <c r="AI6" s="44">
        <v>9.3489148580968018E-3</v>
      </c>
      <c r="AJ6" s="44">
        <v>1.1936560565943249E-2</v>
      </c>
      <c r="AK6" s="44">
        <v>1.4482471153589305E-2</v>
      </c>
      <c r="AL6" s="44">
        <v>9.6828046744574514E-3</v>
      </c>
      <c r="AM6" s="44">
        <v>2.9632721202003387E-3</v>
      </c>
      <c r="AN6" s="44">
        <v>2.9632721202003109E-3</v>
      </c>
      <c r="AO6" s="44">
        <v>1.1769616026711227E-2</v>
      </c>
      <c r="AP6" s="44">
        <v>2.9173622704507518E-2</v>
      </c>
      <c r="AQ6" s="44">
        <v>8.7228714524206219E-3</v>
      </c>
      <c r="AR6" s="44">
        <v>4.0667779632721224E-2</v>
      </c>
      <c r="AS6" s="44">
        <v>1.653589315525883E-2</v>
      </c>
      <c r="AT6" s="44">
        <v>1.3973288814691176E-2</v>
      </c>
      <c r="AU6" s="44">
        <v>1.8313856427378927E-2</v>
      </c>
      <c r="AV6" s="44">
        <v>1.0000000000000564E-3</v>
      </c>
      <c r="AW6" s="44">
        <v>1.2731218697829727E-2</v>
      </c>
      <c r="AX6" s="44">
        <v>2.2954924874791283E-2</v>
      </c>
      <c r="AY6" s="44">
        <v>8.3722871452420189E-3</v>
      </c>
      <c r="AZ6" s="44">
        <v>1.0000000000000009E-2</v>
      </c>
      <c r="BA6" s="44">
        <v>1.0000000000000009E-2</v>
      </c>
      <c r="BB6" s="44">
        <v>5.9868959868960014E-3</v>
      </c>
      <c r="BC6" s="44">
        <v>3.9931301008095554E-2</v>
      </c>
      <c r="BD6" s="44">
        <v>4.2378964941569397E-2</v>
      </c>
      <c r="BE6" s="44">
        <v>3.262938230383966E-2</v>
      </c>
      <c r="BF6" s="44">
        <v>7.879799759599404E-3</v>
      </c>
      <c r="BG6" s="44">
        <v>1.3722871358931577E-2</v>
      </c>
      <c r="BH6" s="44">
        <v>1.0041736227045073E-2</v>
      </c>
      <c r="BI6" s="44">
        <v>1.1661101836394017E-2</v>
      </c>
      <c r="BJ6" s="44">
        <v>7.3038395776292564E-3</v>
      </c>
      <c r="BK6" s="44">
        <v>7.8464108397328092E-3</v>
      </c>
      <c r="BL6" s="44">
        <v>1.0617696160267198E-2</v>
      </c>
      <c r="BM6" s="44">
        <v>5.2003340000000842E-3</v>
      </c>
      <c r="BN6" s="44">
        <v>3.0050079999999202E-3</v>
      </c>
      <c r="BO6" s="44">
        <v>1.1427379202003429E-2</v>
      </c>
      <c r="BP6" s="44">
        <v>3.0884808013356135E-3</v>
      </c>
      <c r="BQ6" s="44">
        <v>5.008347245408995E-3</v>
      </c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2"/>
    </row>
    <row r="7" spans="1:89" x14ac:dyDescent="0.25">
      <c r="A7" s="37" t="s">
        <v>158</v>
      </c>
      <c r="B7" s="46">
        <v>28</v>
      </c>
      <c r="C7" s="46">
        <v>68</v>
      </c>
      <c r="D7" s="46">
        <v>108</v>
      </c>
      <c r="E7" s="46">
        <v>148</v>
      </c>
      <c r="F7" s="46">
        <v>188</v>
      </c>
      <c r="G7" s="46">
        <v>228</v>
      </c>
      <c r="H7" s="46">
        <v>268</v>
      </c>
      <c r="I7" s="46">
        <v>308</v>
      </c>
      <c r="J7" s="46">
        <v>348</v>
      </c>
      <c r="K7" s="46">
        <v>388</v>
      </c>
      <c r="L7" s="46">
        <v>428</v>
      </c>
      <c r="M7" s="46">
        <v>468</v>
      </c>
      <c r="N7" s="46">
        <v>476</v>
      </c>
      <c r="O7" s="46">
        <v>528.5</v>
      </c>
      <c r="P7" s="46">
        <v>591.5</v>
      </c>
      <c r="Q7" s="46">
        <v>638.5</v>
      </c>
      <c r="R7" s="46">
        <v>701.5</v>
      </c>
      <c r="S7" s="46">
        <v>764.5</v>
      </c>
      <c r="T7" s="46">
        <v>827.5</v>
      </c>
      <c r="U7" s="46">
        <v>888.5</v>
      </c>
      <c r="V7" s="46">
        <v>1137.5</v>
      </c>
      <c r="W7" s="46">
        <v>1335</v>
      </c>
      <c r="X7" s="46">
        <v>1524</v>
      </c>
      <c r="Y7" s="46">
        <v>1711.5</v>
      </c>
      <c r="Z7" s="46">
        <v>1900.5</v>
      </c>
      <c r="AA7" s="46">
        <v>2089.5</v>
      </c>
      <c r="AB7" s="46">
        <v>2152.5</v>
      </c>
      <c r="AC7" s="46">
        <v>2278.5</v>
      </c>
      <c r="AD7" s="46">
        <v>2467.5</v>
      </c>
      <c r="AE7" s="46">
        <v>2640</v>
      </c>
      <c r="AF7" s="46">
        <v>2826</v>
      </c>
      <c r="AG7" s="46">
        <v>3015</v>
      </c>
      <c r="AH7" s="46">
        <v>3204</v>
      </c>
      <c r="AI7" s="46">
        <v>3393</v>
      </c>
      <c r="AJ7" s="46">
        <v>3582</v>
      </c>
      <c r="AK7" s="46">
        <v>3771</v>
      </c>
      <c r="AL7" s="46">
        <v>3960</v>
      </c>
      <c r="AM7" s="46">
        <v>4149</v>
      </c>
      <c r="AN7" s="46">
        <v>4760</v>
      </c>
      <c r="AO7" s="46">
        <v>5394.5</v>
      </c>
      <c r="AP7" s="46">
        <v>5814.5</v>
      </c>
      <c r="AQ7" s="46">
        <v>6185.5</v>
      </c>
      <c r="AR7" s="46">
        <v>6816</v>
      </c>
      <c r="AS7" s="46">
        <v>7439.5</v>
      </c>
      <c r="AT7" s="46">
        <v>8029.5</v>
      </c>
      <c r="AU7" s="46">
        <v>8529</v>
      </c>
      <c r="AV7" s="46">
        <v>8904.5</v>
      </c>
      <c r="AW7" s="46">
        <v>9176.5</v>
      </c>
      <c r="AX7" s="46">
        <v>9388</v>
      </c>
      <c r="AY7" s="46">
        <v>9556</v>
      </c>
      <c r="AZ7" s="46">
        <f>9584+136+48</f>
        <v>9768</v>
      </c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8"/>
    </row>
    <row r="8" spans="1:89" x14ac:dyDescent="0.25">
      <c r="A8" s="37" t="s">
        <v>159</v>
      </c>
      <c r="B8" s="49">
        <v>28</v>
      </c>
      <c r="C8" s="49">
        <v>68</v>
      </c>
      <c r="D8" s="49">
        <v>108</v>
      </c>
      <c r="E8" s="49">
        <v>148</v>
      </c>
      <c r="F8" s="49">
        <v>188</v>
      </c>
      <c r="G8" s="49">
        <v>228</v>
      </c>
      <c r="H8" s="49">
        <v>268</v>
      </c>
      <c r="I8" s="49">
        <v>308</v>
      </c>
      <c r="J8" s="49">
        <v>348</v>
      </c>
      <c r="K8" s="49">
        <v>388</v>
      </c>
      <c r="L8" s="49">
        <v>428</v>
      </c>
      <c r="M8" s="49">
        <v>468</v>
      </c>
      <c r="N8" s="49">
        <v>528.5</v>
      </c>
      <c r="O8" s="49">
        <v>591.5</v>
      </c>
      <c r="P8" s="49">
        <v>638.5</v>
      </c>
      <c r="Q8" s="49">
        <v>701.5</v>
      </c>
      <c r="R8" s="49">
        <v>764.5</v>
      </c>
      <c r="S8" s="49">
        <v>827.5</v>
      </c>
      <c r="T8" s="49">
        <v>888.5</v>
      </c>
      <c r="U8" s="49">
        <v>1036</v>
      </c>
      <c r="V8" s="49">
        <v>1224</v>
      </c>
      <c r="W8" s="49">
        <v>1413</v>
      </c>
      <c r="X8" s="49">
        <v>1552.5</v>
      </c>
      <c r="Y8" s="49">
        <v>1741.5</v>
      </c>
      <c r="Z8" s="49">
        <v>1930.5</v>
      </c>
      <c r="AA8" s="49">
        <v>2068.1999999999998</v>
      </c>
      <c r="AB8" s="49">
        <v>2194.1999999999998</v>
      </c>
      <c r="AC8" s="49">
        <v>2298.1999999999998</v>
      </c>
      <c r="AD8" s="49">
        <v>2499.6</v>
      </c>
      <c r="AE8" s="49">
        <v>2688.6</v>
      </c>
      <c r="AF8" s="49">
        <v>2877.6</v>
      </c>
      <c r="AG8" s="49">
        <v>3007.6</v>
      </c>
      <c r="AH8" s="49">
        <v>3133.6</v>
      </c>
      <c r="AI8" s="49">
        <v>3259.6</v>
      </c>
      <c r="AJ8" s="49">
        <v>3385.6</v>
      </c>
      <c r="AK8" s="49">
        <v>3487.6</v>
      </c>
      <c r="AL8" s="49">
        <v>3911.6</v>
      </c>
      <c r="AM8" s="49">
        <v>4334.1000000000004</v>
      </c>
      <c r="AN8" s="49">
        <v>4602.1999999999989</v>
      </c>
      <c r="AO8" s="49">
        <v>4804.5</v>
      </c>
      <c r="AP8" s="49">
        <v>5091.5</v>
      </c>
      <c r="AQ8" s="49">
        <v>5347.32</v>
      </c>
      <c r="AR8" s="49">
        <v>5549.82</v>
      </c>
      <c r="AS8" s="49">
        <v>5758.82</v>
      </c>
      <c r="AT8" s="49">
        <v>5917.9199999999992</v>
      </c>
      <c r="AU8" s="49">
        <v>5917.9199999999992</v>
      </c>
      <c r="AV8" s="49">
        <v>5917.9199999999992</v>
      </c>
      <c r="AW8" s="49">
        <v>5917.9199999999992</v>
      </c>
      <c r="AX8" s="49">
        <v>5917.9199999999992</v>
      </c>
      <c r="AY8" s="49">
        <v>5917.9199999999992</v>
      </c>
      <c r="AZ8" s="49">
        <v>5917.9199999999992</v>
      </c>
      <c r="BA8" s="49">
        <v>5917.9199999999992</v>
      </c>
      <c r="BB8" s="49">
        <v>5917.9199999999992</v>
      </c>
      <c r="BC8" s="49">
        <v>5917.9199999999992</v>
      </c>
      <c r="BD8" s="49">
        <v>5917.9199999999992</v>
      </c>
      <c r="BE8" s="49">
        <v>5917.9199999999992</v>
      </c>
      <c r="BF8" s="49">
        <v>5917.9199999999992</v>
      </c>
      <c r="BG8" s="49">
        <v>5917.9199999999992</v>
      </c>
      <c r="BH8" s="49">
        <v>5917.9199999999992</v>
      </c>
      <c r="BI8" s="49">
        <v>5917.9199999999992</v>
      </c>
      <c r="BJ8" s="49">
        <v>5917.9199999999992</v>
      </c>
      <c r="BK8" s="49">
        <v>5917.9199999999992</v>
      </c>
      <c r="BL8" s="49">
        <v>5917.9199999999992</v>
      </c>
      <c r="BM8" s="49">
        <v>5917.9199999999992</v>
      </c>
      <c r="BN8" s="49">
        <v>5917.9199999999992</v>
      </c>
      <c r="BO8" s="49">
        <v>5917.9199999999992</v>
      </c>
      <c r="BP8" s="49">
        <v>5917.9199999999992</v>
      </c>
      <c r="BQ8" s="49">
        <v>5917.9199999999992</v>
      </c>
      <c r="BR8" s="49">
        <v>6435.9999999999991</v>
      </c>
      <c r="BS8" s="49">
        <v>6927.9999999999991</v>
      </c>
      <c r="BT8" s="49">
        <v>7411.9999999999991</v>
      </c>
      <c r="BU8" s="49">
        <v>7811.9999999999991</v>
      </c>
      <c r="BV8" s="49">
        <v>8131.9999999999991</v>
      </c>
      <c r="BW8" s="49">
        <v>8419.2000000000007</v>
      </c>
      <c r="BX8" s="49">
        <v>8639.2000000000007</v>
      </c>
      <c r="BY8" s="49">
        <v>8781.5999999999985</v>
      </c>
      <c r="BZ8" s="49">
        <v>8861.5999999999985</v>
      </c>
      <c r="CA8" s="49">
        <v>8964.7999999999993</v>
      </c>
      <c r="CB8" s="49">
        <v>9060.7999999999993</v>
      </c>
      <c r="CC8" s="49">
        <v>9140.7999999999993</v>
      </c>
      <c r="CD8" s="49">
        <v>9205.6</v>
      </c>
      <c r="CE8" s="49">
        <v>9320.7999999999993</v>
      </c>
      <c r="CF8" s="49">
        <v>9440.7999999999993</v>
      </c>
      <c r="CG8" s="49">
        <v>9523.2000000000007</v>
      </c>
      <c r="CH8" s="49">
        <v>9603.2000000000007</v>
      </c>
      <c r="CI8" s="49">
        <v>9683.2000000000007</v>
      </c>
      <c r="CJ8" s="49">
        <v>9763.2000000000007</v>
      </c>
      <c r="CK8" s="50">
        <v>9768</v>
      </c>
    </row>
    <row r="9" spans="1:89" x14ac:dyDescent="0.25">
      <c r="A9" s="37" t="s">
        <v>160</v>
      </c>
      <c r="B9" s="45">
        <f t="shared" ref="B9:AG9" si="1">+B7/$AZ$7</f>
        <v>2.8665028665028664E-3</v>
      </c>
      <c r="C9" s="45">
        <f t="shared" si="1"/>
        <v>6.9615069615069618E-3</v>
      </c>
      <c r="D9" s="45">
        <f t="shared" si="1"/>
        <v>1.1056511056511056E-2</v>
      </c>
      <c r="E9" s="45">
        <f t="shared" si="1"/>
        <v>1.5151515151515152E-2</v>
      </c>
      <c r="F9" s="45">
        <f t="shared" si="1"/>
        <v>1.9246519246519246E-2</v>
      </c>
      <c r="G9" s="45">
        <f t="shared" si="1"/>
        <v>2.334152334152334E-2</v>
      </c>
      <c r="H9" s="45">
        <f t="shared" si="1"/>
        <v>2.7436527436527438E-2</v>
      </c>
      <c r="I9" s="45">
        <f t="shared" si="1"/>
        <v>3.1531531531531529E-2</v>
      </c>
      <c r="J9" s="45">
        <f t="shared" si="1"/>
        <v>3.562653562653563E-2</v>
      </c>
      <c r="K9" s="45">
        <f t="shared" si="1"/>
        <v>3.9721539721539724E-2</v>
      </c>
      <c r="L9" s="45">
        <f t="shared" si="1"/>
        <v>4.3816543816543818E-2</v>
      </c>
      <c r="M9" s="45">
        <f t="shared" si="1"/>
        <v>4.7911547911547912E-2</v>
      </c>
      <c r="N9" s="45">
        <f t="shared" si="1"/>
        <v>4.8730548730548731E-2</v>
      </c>
      <c r="O9" s="45">
        <f t="shared" si="1"/>
        <v>5.4105241605241605E-2</v>
      </c>
      <c r="P9" s="45">
        <f t="shared" si="1"/>
        <v>6.0554873054873053E-2</v>
      </c>
      <c r="Q9" s="45">
        <f t="shared" si="1"/>
        <v>6.5366502866502862E-2</v>
      </c>
      <c r="R9" s="45">
        <f t="shared" si="1"/>
        <v>7.1816134316134317E-2</v>
      </c>
      <c r="S9" s="45">
        <f t="shared" si="1"/>
        <v>7.8265765765765771E-2</v>
      </c>
      <c r="T9" s="45">
        <f t="shared" si="1"/>
        <v>8.4715397215397212E-2</v>
      </c>
      <c r="U9" s="45">
        <f t="shared" si="1"/>
        <v>9.096027846027846E-2</v>
      </c>
      <c r="V9" s="45">
        <f t="shared" si="1"/>
        <v>0.11645167895167895</v>
      </c>
      <c r="W9" s="45">
        <f t="shared" si="1"/>
        <v>0.13667076167076167</v>
      </c>
      <c r="X9" s="45">
        <f t="shared" si="1"/>
        <v>0.15601965601965603</v>
      </c>
      <c r="Y9" s="45">
        <f t="shared" si="1"/>
        <v>0.17521498771498772</v>
      </c>
      <c r="Z9" s="45">
        <f t="shared" si="1"/>
        <v>0.19456388206388206</v>
      </c>
      <c r="AA9" s="45">
        <f t="shared" si="1"/>
        <v>0.21391277641277642</v>
      </c>
      <c r="AB9" s="45">
        <f t="shared" si="1"/>
        <v>0.22036240786240785</v>
      </c>
      <c r="AC9" s="45">
        <f t="shared" si="1"/>
        <v>0.23326167076167076</v>
      </c>
      <c r="AD9" s="45">
        <f t="shared" si="1"/>
        <v>0.25261056511056512</v>
      </c>
      <c r="AE9" s="45">
        <f t="shared" si="1"/>
        <v>0.27027027027027029</v>
      </c>
      <c r="AF9" s="45">
        <f t="shared" si="1"/>
        <v>0.2893120393120393</v>
      </c>
      <c r="AG9" s="45">
        <f t="shared" si="1"/>
        <v>0.30866093366093367</v>
      </c>
      <c r="AH9" s="45">
        <f t="shared" ref="AH9:AZ9" si="2">+AH7/$AZ$7</f>
        <v>0.32800982800982803</v>
      </c>
      <c r="AI9" s="45">
        <f t="shared" si="2"/>
        <v>0.34735872235872234</v>
      </c>
      <c r="AJ9" s="45">
        <f t="shared" si="2"/>
        <v>0.3667076167076167</v>
      </c>
      <c r="AK9" s="45">
        <f t="shared" si="2"/>
        <v>0.38605651105651106</v>
      </c>
      <c r="AL9" s="45">
        <f t="shared" si="2"/>
        <v>0.40540540540540543</v>
      </c>
      <c r="AM9" s="45">
        <f t="shared" si="2"/>
        <v>0.42475429975429974</v>
      </c>
      <c r="AN9" s="45">
        <f t="shared" si="2"/>
        <v>0.48730548730548728</v>
      </c>
      <c r="AO9" s="45">
        <f t="shared" si="2"/>
        <v>0.55226248976248982</v>
      </c>
      <c r="AP9" s="45">
        <f t="shared" si="2"/>
        <v>0.59526003276003281</v>
      </c>
      <c r="AQ9" s="45">
        <f t="shared" si="2"/>
        <v>0.63324119574119575</v>
      </c>
      <c r="AR9" s="45">
        <f t="shared" si="2"/>
        <v>0.69778869778869779</v>
      </c>
      <c r="AS9" s="45">
        <f t="shared" si="2"/>
        <v>0.76161957411957415</v>
      </c>
      <c r="AT9" s="45">
        <f t="shared" si="2"/>
        <v>0.82202088452088451</v>
      </c>
      <c r="AU9" s="45">
        <f t="shared" si="2"/>
        <v>0.87315724815724816</v>
      </c>
      <c r="AV9" s="45">
        <f t="shared" si="2"/>
        <v>0.91159909909909909</v>
      </c>
      <c r="AW9" s="45">
        <f t="shared" si="2"/>
        <v>0.93944512694512694</v>
      </c>
      <c r="AX9" s="45">
        <f t="shared" si="2"/>
        <v>0.96109746109746108</v>
      </c>
      <c r="AY9" s="45">
        <f t="shared" si="2"/>
        <v>0.97829647829647826</v>
      </c>
      <c r="AZ9" s="45">
        <f t="shared" si="2"/>
        <v>1</v>
      </c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51"/>
    </row>
    <row r="10" spans="1:89" x14ac:dyDescent="0.25">
      <c r="A10" s="37" t="s">
        <v>161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>
        <v>0.61772954924874801</v>
      </c>
      <c r="BR10" s="45">
        <f>+BR8/$AZ$7</f>
        <v>0.65888615888615876</v>
      </c>
      <c r="BS10" s="45">
        <f t="shared" ref="BS10:BV10" si="3">+BS8/$AZ$7</f>
        <v>0.70925470925470913</v>
      </c>
      <c r="BT10" s="45">
        <f t="shared" si="3"/>
        <v>0.75880425880425872</v>
      </c>
      <c r="BU10" s="45">
        <f t="shared" si="3"/>
        <v>0.79975429975429968</v>
      </c>
      <c r="BV10" s="45">
        <f t="shared" si="3"/>
        <v>0.83251433251433238</v>
      </c>
      <c r="BW10" s="45">
        <f t="shared" ref="BW10:CK10" si="4">+BW8/$AZ$7</f>
        <v>0.86191646191646198</v>
      </c>
      <c r="BX10" s="45">
        <f t="shared" si="4"/>
        <v>0.8844389844389845</v>
      </c>
      <c r="BY10" s="45">
        <f t="shared" si="4"/>
        <v>0.8990171990171989</v>
      </c>
      <c r="BZ10" s="45">
        <f t="shared" si="4"/>
        <v>0.90720720720720704</v>
      </c>
      <c r="CA10" s="45">
        <f t="shared" si="4"/>
        <v>0.91777231777231771</v>
      </c>
      <c r="CB10" s="45">
        <f t="shared" si="4"/>
        <v>0.92760032760032751</v>
      </c>
      <c r="CC10" s="45">
        <f t="shared" si="4"/>
        <v>0.93579033579033577</v>
      </c>
      <c r="CD10" s="45">
        <f t="shared" si="4"/>
        <v>0.9424242424242425</v>
      </c>
      <c r="CE10" s="45">
        <f t="shared" si="4"/>
        <v>0.9542178542178541</v>
      </c>
      <c r="CF10" s="45">
        <f t="shared" si="4"/>
        <v>0.96650286650286643</v>
      </c>
      <c r="CG10" s="45">
        <f t="shared" si="4"/>
        <v>0.97493857493857505</v>
      </c>
      <c r="CH10" s="45">
        <f t="shared" si="4"/>
        <v>0.9831285831285832</v>
      </c>
      <c r="CI10" s="45">
        <f t="shared" si="4"/>
        <v>0.99131859131859135</v>
      </c>
      <c r="CJ10" s="45">
        <f t="shared" si="4"/>
        <v>0.9995085995085996</v>
      </c>
      <c r="CK10" s="51">
        <f t="shared" si="4"/>
        <v>1</v>
      </c>
    </row>
    <row r="11" spans="1:89" x14ac:dyDescent="0.25">
      <c r="A11" s="52" t="s">
        <v>162</v>
      </c>
      <c r="B11" s="45">
        <v>2.9215358931552588E-3</v>
      </c>
      <c r="C11" s="45">
        <v>7.0951585976627716E-3</v>
      </c>
      <c r="D11" s="45">
        <v>1.1268781302170284E-2</v>
      </c>
      <c r="E11" s="45">
        <v>1.5442404006677797E-2</v>
      </c>
      <c r="F11" s="45">
        <v>1.961602671118531E-2</v>
      </c>
      <c r="G11" s="45">
        <v>2.378964941569282E-2</v>
      </c>
      <c r="H11" s="45">
        <v>2.7963272120200333E-2</v>
      </c>
      <c r="I11" s="45">
        <v>3.213689482470785E-2</v>
      </c>
      <c r="J11" s="45">
        <v>3.631051752921536E-2</v>
      </c>
      <c r="K11" s="45">
        <v>4.0484140233722869E-2</v>
      </c>
      <c r="L11" s="45">
        <v>4.4657762938230386E-2</v>
      </c>
      <c r="M11" s="45">
        <v>4.8831385642737896E-2</v>
      </c>
      <c r="N11" s="45">
        <v>5.5143989983305511E-2</v>
      </c>
      <c r="O11" s="45">
        <v>6.1717445742904845E-2</v>
      </c>
      <c r="P11" s="45">
        <v>6.6621452420701166E-2</v>
      </c>
      <c r="Q11" s="45">
        <v>7.31949081803005E-2</v>
      </c>
      <c r="R11" s="45">
        <v>7.9768363939899833E-2</v>
      </c>
      <c r="S11" s="45">
        <v>8.764607679465776E-2</v>
      </c>
      <c r="T11" s="45">
        <v>8.9273789649415694E-2</v>
      </c>
      <c r="U11" s="45">
        <v>9.3906510851419031E-2</v>
      </c>
      <c r="V11" s="45">
        <v>9.891485809682804E-2</v>
      </c>
      <c r="W11" s="45">
        <v>0.10459098497495826</v>
      </c>
      <c r="X11" s="45">
        <v>0.10559265442404006</v>
      </c>
      <c r="Y11" s="45">
        <v>0.10799248747913189</v>
      </c>
      <c r="Z11" s="45">
        <v>0.11068447412353923</v>
      </c>
      <c r="AA11" s="45">
        <v>0.11216611018363939</v>
      </c>
      <c r="AB11" s="45">
        <v>0.11425292153589316</v>
      </c>
      <c r="AC11" s="45">
        <v>0.11529632721202003</v>
      </c>
      <c r="AD11" s="45">
        <v>0.11790484140233723</v>
      </c>
      <c r="AE11" s="45">
        <v>0.11915692821368948</v>
      </c>
      <c r="AF11" s="45">
        <v>0.11999165275459099</v>
      </c>
      <c r="AG11" s="45">
        <v>0.12468697829716194</v>
      </c>
      <c r="AH11" s="45">
        <v>0.14440734557595994</v>
      </c>
      <c r="AI11" s="45">
        <v>0.15375626043405674</v>
      </c>
      <c r="AJ11" s="45">
        <v>0.16569282099999999</v>
      </c>
      <c r="AK11" s="45">
        <v>0.18017529215358929</v>
      </c>
      <c r="AL11" s="45">
        <v>0.18985809682804675</v>
      </c>
      <c r="AM11" s="45">
        <v>0.19282136894824708</v>
      </c>
      <c r="AN11" s="45">
        <v>0.1957846410684474</v>
      </c>
      <c r="AO11" s="45">
        <v>0.20755425709515862</v>
      </c>
      <c r="AP11" s="45">
        <v>0.23672787979966614</v>
      </c>
      <c r="AQ11" s="45">
        <v>0.24545075125208676</v>
      </c>
      <c r="AR11" s="45">
        <v>0.28611853088480799</v>
      </c>
      <c r="AS11" s="45">
        <v>0.30265442404006682</v>
      </c>
      <c r="AT11" s="45">
        <v>0.31662771285475799</v>
      </c>
      <c r="AU11" s="45">
        <v>0.33494156928213692</v>
      </c>
      <c r="AV11" s="45">
        <v>0.33594156928213698</v>
      </c>
      <c r="AW11" s="45">
        <v>0.3486727879799667</v>
      </c>
      <c r="AX11" s="45">
        <v>0.37162771285475799</v>
      </c>
      <c r="AY11" s="45">
        <v>0.38</v>
      </c>
      <c r="AZ11" s="45">
        <v>0.39</v>
      </c>
      <c r="BA11" s="45">
        <v>0.4</v>
      </c>
      <c r="BB11" s="45">
        <v>0.40598689598689602</v>
      </c>
      <c r="BC11" s="45">
        <v>0.44591819699499158</v>
      </c>
      <c r="BD11" s="45">
        <v>0.48829716193656098</v>
      </c>
      <c r="BE11" s="45">
        <v>0.52092654424040064</v>
      </c>
      <c r="BF11" s="45">
        <v>0.52880634400000004</v>
      </c>
      <c r="BG11" s="45">
        <v>0.54252921535893162</v>
      </c>
      <c r="BH11" s="45">
        <v>0.55257095158597669</v>
      </c>
      <c r="BI11" s="45">
        <v>0.56423205342237071</v>
      </c>
      <c r="BJ11" s="45">
        <v>0.57153589299999996</v>
      </c>
      <c r="BK11" s="45">
        <v>0.57938230383973277</v>
      </c>
      <c r="BL11" s="45">
        <v>0.59</v>
      </c>
      <c r="BM11" s="45">
        <v>0.59520033400000005</v>
      </c>
      <c r="BN11" s="45">
        <v>0.59820534199999997</v>
      </c>
      <c r="BO11" s="45">
        <v>0.6096327212020034</v>
      </c>
      <c r="BP11" s="45">
        <v>0.61272120200333902</v>
      </c>
      <c r="BQ11" s="45">
        <v>0.61772954924874801</v>
      </c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4"/>
    </row>
    <row r="12" spans="1:89" x14ac:dyDescent="0.25">
      <c r="A12" s="55" t="s">
        <v>74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>
        <f>BQ10-BQ11</f>
        <v>0</v>
      </c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87E7-A345-45E9-8998-835CABB6CE73}">
  <sheetPr>
    <tabColor rgb="FF00B0F0"/>
  </sheetPr>
  <dimension ref="A1:CP51"/>
  <sheetViews>
    <sheetView tabSelected="1" zoomScale="70" zoomScaleNormal="70" workbookViewId="0">
      <selection activeCell="CR36" sqref="CR36"/>
    </sheetView>
  </sheetViews>
  <sheetFormatPr defaultRowHeight="13.2" x14ac:dyDescent="0.25"/>
  <cols>
    <col min="1" max="1" width="22.44140625" customWidth="1"/>
    <col min="2" max="72" width="0" hidden="1" customWidth="1"/>
  </cols>
  <sheetData>
    <row r="1" spans="1:94" x14ac:dyDescent="0.25">
      <c r="A1" s="30"/>
      <c r="B1" s="31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29" t="s">
        <v>2</v>
      </c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</row>
    <row r="2" spans="1:94" x14ac:dyDescent="0.25">
      <c r="A2" s="34"/>
      <c r="B2" s="35" t="s">
        <v>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 t="s">
        <v>5</v>
      </c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 t="s">
        <v>6</v>
      </c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 t="s">
        <v>7</v>
      </c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 t="s">
        <v>4</v>
      </c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 t="s">
        <v>5</v>
      </c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 t="s">
        <v>6</v>
      </c>
      <c r="CH2" s="35"/>
      <c r="CI2" s="35"/>
      <c r="CJ2" s="35"/>
      <c r="CK2" s="35"/>
      <c r="CL2" s="35"/>
      <c r="CM2" s="35"/>
      <c r="CN2" s="35"/>
      <c r="CO2" s="35"/>
      <c r="CP2" s="36"/>
    </row>
    <row r="3" spans="1:94" x14ac:dyDescent="0.25">
      <c r="A3" s="37" t="s">
        <v>8</v>
      </c>
      <c r="B3" s="58" t="s">
        <v>105</v>
      </c>
      <c r="C3" s="58" t="s">
        <v>105</v>
      </c>
      <c r="D3" s="58" t="s">
        <v>105</v>
      </c>
      <c r="E3" s="58" t="s">
        <v>10</v>
      </c>
      <c r="F3" s="58" t="s">
        <v>10</v>
      </c>
      <c r="G3" s="58" t="s">
        <v>10</v>
      </c>
      <c r="H3" s="58" t="s">
        <v>10</v>
      </c>
      <c r="I3" s="58" t="s">
        <v>10</v>
      </c>
      <c r="J3" s="58" t="s">
        <v>89</v>
      </c>
      <c r="K3" s="58" t="s">
        <v>89</v>
      </c>
      <c r="L3" s="58" t="s">
        <v>89</v>
      </c>
      <c r="M3" s="58" t="s">
        <v>89</v>
      </c>
      <c r="N3" s="58" t="s">
        <v>93</v>
      </c>
      <c r="O3" s="58" t="s">
        <v>93</v>
      </c>
      <c r="P3" s="58" t="s">
        <v>93</v>
      </c>
      <c r="Q3" s="58" t="s">
        <v>93</v>
      </c>
      <c r="R3" s="58" t="s">
        <v>93</v>
      </c>
      <c r="S3" s="58" t="s">
        <v>97</v>
      </c>
      <c r="T3" s="58" t="s">
        <v>97</v>
      </c>
      <c r="U3" s="58" t="s">
        <v>97</v>
      </c>
      <c r="V3" s="58" t="s">
        <v>97</v>
      </c>
      <c r="W3" s="58" t="s">
        <v>97</v>
      </c>
      <c r="X3" s="58" t="s">
        <v>98</v>
      </c>
      <c r="Y3" s="58" t="s">
        <v>98</v>
      </c>
      <c r="Z3" s="58" t="s">
        <v>98</v>
      </c>
      <c r="AA3" s="58" t="s">
        <v>98</v>
      </c>
      <c r="AB3" s="58" t="s">
        <v>99</v>
      </c>
      <c r="AC3" s="58" t="s">
        <v>99</v>
      </c>
      <c r="AD3" s="58" t="s">
        <v>99</v>
      </c>
      <c r="AE3" s="58" t="s">
        <v>99</v>
      </c>
      <c r="AF3" s="58" t="s">
        <v>99</v>
      </c>
      <c r="AG3" s="58" t="s">
        <v>100</v>
      </c>
      <c r="AH3" s="58" t="s">
        <v>100</v>
      </c>
      <c r="AI3" s="58" t="s">
        <v>100</v>
      </c>
      <c r="AJ3" s="58" t="s">
        <v>100</v>
      </c>
      <c r="AK3" s="58" t="s">
        <v>100</v>
      </c>
      <c r="AL3" s="58" t="s">
        <v>101</v>
      </c>
      <c r="AM3" s="58" t="s">
        <v>101</v>
      </c>
      <c r="AN3" s="58" t="s">
        <v>101</v>
      </c>
      <c r="AO3" s="58" t="s">
        <v>101</v>
      </c>
      <c r="AP3" s="58" t="s">
        <v>102</v>
      </c>
      <c r="AQ3" s="58" t="s">
        <v>102</v>
      </c>
      <c r="AR3" s="58" t="s">
        <v>102</v>
      </c>
      <c r="AS3" s="58" t="s">
        <v>102</v>
      </c>
      <c r="AT3" s="58" t="s">
        <v>102</v>
      </c>
      <c r="AU3" s="58" t="s">
        <v>102</v>
      </c>
      <c r="AV3" s="58" t="s">
        <v>103</v>
      </c>
      <c r="AW3" s="58" t="s">
        <v>103</v>
      </c>
      <c r="AX3" s="58" t="s">
        <v>103</v>
      </c>
      <c r="AY3" s="58" t="s">
        <v>103</v>
      </c>
      <c r="AZ3" s="58" t="s">
        <v>104</v>
      </c>
      <c r="BA3" s="58" t="s">
        <v>104</v>
      </c>
      <c r="BB3" s="58" t="s">
        <v>104</v>
      </c>
      <c r="BC3" s="58" t="s">
        <v>104</v>
      </c>
      <c r="BD3" s="58" t="s">
        <v>104</v>
      </c>
      <c r="BE3" s="58" t="s">
        <v>105</v>
      </c>
      <c r="BF3" s="58" t="s">
        <v>105</v>
      </c>
      <c r="BG3" s="58" t="s">
        <v>105</v>
      </c>
      <c r="BH3" s="58" t="s">
        <v>105</v>
      </c>
      <c r="BI3" s="58" t="s">
        <v>10</v>
      </c>
      <c r="BJ3" s="58" t="s">
        <v>10</v>
      </c>
      <c r="BK3" s="58" t="s">
        <v>10</v>
      </c>
      <c r="BL3" s="58" t="s">
        <v>10</v>
      </c>
      <c r="BM3" s="58" t="s">
        <v>10</v>
      </c>
      <c r="BN3" s="58" t="s">
        <v>89</v>
      </c>
      <c r="BO3" s="58" t="s">
        <v>89</v>
      </c>
      <c r="BP3" s="58" t="s">
        <v>89</v>
      </c>
      <c r="BQ3" s="58" t="s">
        <v>89</v>
      </c>
      <c r="BR3" s="58" t="s">
        <v>93</v>
      </c>
      <c r="BS3" s="58" t="s">
        <v>93</v>
      </c>
      <c r="BT3" s="58" t="s">
        <v>93</v>
      </c>
      <c r="BU3" s="58" t="s">
        <v>93</v>
      </c>
      <c r="BV3" s="58" t="s">
        <v>93</v>
      </c>
      <c r="BW3" s="58" t="s">
        <v>97</v>
      </c>
      <c r="BX3" s="58" t="s">
        <v>97</v>
      </c>
      <c r="BY3" s="58" t="s">
        <v>97</v>
      </c>
      <c r="BZ3" s="58" t="s">
        <v>97</v>
      </c>
      <c r="CA3" s="58" t="s">
        <v>97</v>
      </c>
      <c r="CB3" s="58" t="s">
        <v>98</v>
      </c>
      <c r="CC3" s="58" t="s">
        <v>98</v>
      </c>
      <c r="CD3" s="58" t="s">
        <v>98</v>
      </c>
      <c r="CE3" s="58" t="s">
        <v>98</v>
      </c>
      <c r="CF3" s="58" t="s">
        <v>98</v>
      </c>
      <c r="CG3" s="58" t="s">
        <v>99</v>
      </c>
      <c r="CH3" s="58" t="s">
        <v>99</v>
      </c>
      <c r="CI3" s="58" t="s">
        <v>99</v>
      </c>
      <c r="CJ3" s="58" t="s">
        <v>99</v>
      </c>
      <c r="CK3" s="58" t="s">
        <v>99</v>
      </c>
      <c r="CL3" s="58" t="s">
        <v>100</v>
      </c>
      <c r="CM3" s="58" t="s">
        <v>100</v>
      </c>
      <c r="CN3" s="58" t="s">
        <v>100</v>
      </c>
      <c r="CO3" s="58" t="s">
        <v>100</v>
      </c>
      <c r="CP3" s="59" t="s">
        <v>100</v>
      </c>
    </row>
    <row r="4" spans="1:94" x14ac:dyDescent="0.25">
      <c r="A4" s="37" t="s">
        <v>20</v>
      </c>
      <c r="B4" s="60" t="s">
        <v>106</v>
      </c>
      <c r="C4" s="61" t="s">
        <v>107</v>
      </c>
      <c r="D4" s="61" t="s">
        <v>108</v>
      </c>
      <c r="E4" s="61" t="s">
        <v>109</v>
      </c>
      <c r="F4" s="61" t="s">
        <v>110</v>
      </c>
      <c r="G4" s="61" t="s">
        <v>111</v>
      </c>
      <c r="H4" s="61" t="s">
        <v>112</v>
      </c>
      <c r="I4" s="61" t="s">
        <v>113</v>
      </c>
      <c r="J4" s="61" t="s">
        <v>114</v>
      </c>
      <c r="K4" s="61" t="s">
        <v>115</v>
      </c>
      <c r="L4" s="61" t="s">
        <v>116</v>
      </c>
      <c r="M4" s="61" t="s">
        <v>117</v>
      </c>
      <c r="N4" s="61" t="s">
        <v>118</v>
      </c>
      <c r="O4" s="60" t="s">
        <v>118</v>
      </c>
      <c r="P4" s="61" t="s">
        <v>119</v>
      </c>
      <c r="Q4" s="61" t="s">
        <v>120</v>
      </c>
      <c r="R4" s="61" t="s">
        <v>121</v>
      </c>
      <c r="S4" s="61" t="s">
        <v>122</v>
      </c>
      <c r="T4" s="61" t="s">
        <v>123</v>
      </c>
      <c r="U4" s="61" t="s">
        <v>124</v>
      </c>
      <c r="V4" s="61" t="s">
        <v>125</v>
      </c>
      <c r="W4" s="61" t="s">
        <v>126</v>
      </c>
      <c r="X4" s="61" t="s">
        <v>127</v>
      </c>
      <c r="Y4" s="61" t="s">
        <v>128</v>
      </c>
      <c r="Z4" s="61" t="s">
        <v>129</v>
      </c>
      <c r="AA4" s="61" t="s">
        <v>130</v>
      </c>
      <c r="AB4" s="61" t="s">
        <v>131</v>
      </c>
      <c r="AC4" s="60" t="s">
        <v>131</v>
      </c>
      <c r="AD4" s="61" t="s">
        <v>132</v>
      </c>
      <c r="AE4" s="61" t="s">
        <v>133</v>
      </c>
      <c r="AF4" s="61" t="s">
        <v>134</v>
      </c>
      <c r="AG4" s="61" t="s">
        <v>135</v>
      </c>
      <c r="AH4" s="61" t="s">
        <v>136</v>
      </c>
      <c r="AI4" s="61" t="s">
        <v>137</v>
      </c>
      <c r="AJ4" s="61" t="s">
        <v>138</v>
      </c>
      <c r="AK4" s="61" t="s">
        <v>139</v>
      </c>
      <c r="AL4" s="61" t="s">
        <v>140</v>
      </c>
      <c r="AM4" s="61" t="s">
        <v>141</v>
      </c>
      <c r="AN4" s="61" t="s">
        <v>142</v>
      </c>
      <c r="AO4" s="61" t="s">
        <v>143</v>
      </c>
      <c r="AP4" s="61" t="s">
        <v>144</v>
      </c>
      <c r="AQ4" s="60" t="s">
        <v>144</v>
      </c>
      <c r="AR4" s="61" t="s">
        <v>145</v>
      </c>
      <c r="AS4" s="61" t="s">
        <v>146</v>
      </c>
      <c r="AT4" s="61" t="s">
        <v>147</v>
      </c>
      <c r="AU4" s="61" t="s">
        <v>148</v>
      </c>
      <c r="AV4" s="61" t="s">
        <v>149</v>
      </c>
      <c r="AW4" s="61" t="s">
        <v>150</v>
      </c>
      <c r="AX4" s="61" t="s">
        <v>151</v>
      </c>
      <c r="AY4" s="61" t="s">
        <v>152</v>
      </c>
      <c r="AZ4" s="61" t="s">
        <v>153</v>
      </c>
      <c r="BA4" s="61" t="s">
        <v>154</v>
      </c>
      <c r="BB4" s="61" t="s">
        <v>155</v>
      </c>
      <c r="BC4" s="61" t="s">
        <v>156</v>
      </c>
      <c r="BD4" s="61" t="s">
        <v>157</v>
      </c>
      <c r="BE4" s="60" t="s">
        <v>157</v>
      </c>
      <c r="BF4" s="61" t="s">
        <v>106</v>
      </c>
      <c r="BG4" s="61" t="s">
        <v>107</v>
      </c>
      <c r="BH4" s="61" t="s">
        <v>108</v>
      </c>
      <c r="BI4" s="61" t="s">
        <v>109</v>
      </c>
      <c r="BJ4" s="61" t="s">
        <v>110</v>
      </c>
      <c r="BK4" s="61" t="s">
        <v>111</v>
      </c>
      <c r="BL4" s="61" t="s">
        <v>112</v>
      </c>
      <c r="BM4" s="61" t="s">
        <v>113</v>
      </c>
      <c r="BN4" s="61" t="s">
        <v>114</v>
      </c>
      <c r="BO4" s="61" t="s">
        <v>115</v>
      </c>
      <c r="BP4" s="61" t="s">
        <v>116</v>
      </c>
      <c r="BQ4" s="61" t="s">
        <v>117</v>
      </c>
      <c r="BR4" s="61" t="s">
        <v>118</v>
      </c>
      <c r="BS4" s="60" t="s">
        <v>118</v>
      </c>
      <c r="BT4" s="61" t="s">
        <v>119</v>
      </c>
      <c r="BU4" s="61" t="s">
        <v>120</v>
      </c>
      <c r="BV4" s="61" t="s">
        <v>121</v>
      </c>
      <c r="BW4" s="61" t="s">
        <v>122</v>
      </c>
      <c r="BX4" s="61" t="s">
        <v>123</v>
      </c>
      <c r="BY4" s="61" t="s">
        <v>124</v>
      </c>
      <c r="BZ4" s="61" t="s">
        <v>125</v>
      </c>
      <c r="CA4" s="61" t="s">
        <v>126</v>
      </c>
      <c r="CB4" s="61" t="s">
        <v>127</v>
      </c>
      <c r="CC4" s="61" t="s">
        <v>128</v>
      </c>
      <c r="CD4" s="61" t="s">
        <v>129</v>
      </c>
      <c r="CE4" s="61" t="s">
        <v>130</v>
      </c>
      <c r="CF4" s="61" t="s">
        <v>131</v>
      </c>
      <c r="CG4" s="60" t="s">
        <v>131</v>
      </c>
      <c r="CH4" s="61" t="s">
        <v>132</v>
      </c>
      <c r="CI4" s="61" t="s">
        <v>133</v>
      </c>
      <c r="CJ4" s="61" t="s">
        <v>134</v>
      </c>
      <c r="CK4" s="61" t="s">
        <v>135</v>
      </c>
      <c r="CL4" s="61" t="s">
        <v>136</v>
      </c>
      <c r="CM4" s="61" t="s">
        <v>137</v>
      </c>
      <c r="CN4" s="61" t="s">
        <v>138</v>
      </c>
      <c r="CO4" s="61" t="s">
        <v>139</v>
      </c>
      <c r="CP4" s="62" t="s">
        <v>140</v>
      </c>
    </row>
    <row r="5" spans="1:94" x14ac:dyDescent="0.25">
      <c r="A5" s="37" t="s">
        <v>163</v>
      </c>
      <c r="B5" s="43">
        <v>2.9215358931552588E-3</v>
      </c>
      <c r="C5" s="44">
        <v>4.1736227045075132E-3</v>
      </c>
      <c r="D5" s="44">
        <v>4.1736227045075123E-3</v>
      </c>
      <c r="E5" s="44">
        <v>4.1736227045075132E-3</v>
      </c>
      <c r="F5" s="44">
        <v>4.1736227045075132E-3</v>
      </c>
      <c r="G5" s="44">
        <v>4.1736227045075097E-3</v>
      </c>
      <c r="H5" s="44">
        <v>4.1736227045075132E-3</v>
      </c>
      <c r="I5" s="44">
        <v>4.1736227045075167E-3</v>
      </c>
      <c r="J5" s="44">
        <v>4.1736227045075097E-3</v>
      </c>
      <c r="K5" s="44">
        <v>4.1736227045075097E-3</v>
      </c>
      <c r="L5" s="44">
        <v>4.1736227045075167E-3</v>
      </c>
      <c r="M5" s="44">
        <v>4.1736227045075097E-3</v>
      </c>
      <c r="N5" s="44">
        <v>6.3126043405676152E-3</v>
      </c>
      <c r="O5" s="44">
        <v>6.5734557595993337E-3</v>
      </c>
      <c r="P5" s="44">
        <v>4.9040066777963215E-3</v>
      </c>
      <c r="Q5" s="44">
        <v>6.5734557595993337E-3</v>
      </c>
      <c r="R5" s="44">
        <v>6.5734557595993337E-3</v>
      </c>
      <c r="S5" s="44">
        <v>6.5734557595993337E-3</v>
      </c>
      <c r="T5" s="44">
        <v>6.3647746243739589E-3</v>
      </c>
      <c r="U5" s="44">
        <v>2.5980801335559259E-2</v>
      </c>
      <c r="V5" s="44">
        <v>2.0607262103505844E-2</v>
      </c>
      <c r="W5" s="44">
        <v>1.9720367278798001E-2</v>
      </c>
      <c r="X5" s="44">
        <v>1.9563856427378956E-2</v>
      </c>
      <c r="Y5" s="44">
        <v>1.9720367278798001E-2</v>
      </c>
      <c r="Z5" s="44">
        <v>1.9720367278798001E-2</v>
      </c>
      <c r="AA5" s="44">
        <v>1.9720367278798001E-2</v>
      </c>
      <c r="AB5" s="44">
        <v>1.9720367278797973E-2</v>
      </c>
      <c r="AC5" s="44">
        <v>1.7998747913188673E-2</v>
      </c>
      <c r="AD5" s="44">
        <v>1.9407345575959911E-2</v>
      </c>
      <c r="AE5" s="44">
        <v>1.9720367278798001E-2</v>
      </c>
      <c r="AF5" s="44">
        <v>1.9720367278798001E-2</v>
      </c>
      <c r="AG5" s="44">
        <v>1.9720367278798001E-2</v>
      </c>
      <c r="AH5" s="44">
        <v>1.9720367278798001E-2</v>
      </c>
      <c r="AI5" s="44">
        <v>1.9720367278798001E-2</v>
      </c>
      <c r="AJ5" s="44">
        <v>1.9720367278798001E-2</v>
      </c>
      <c r="AK5" s="44">
        <v>1.9720367278798001E-2</v>
      </c>
      <c r="AL5" s="44">
        <v>6.3752086811352249E-2</v>
      </c>
      <c r="AM5" s="44">
        <v>6.6204090150250416E-2</v>
      </c>
      <c r="AN5" s="44">
        <v>4.3823038397328817E-2</v>
      </c>
      <c r="AO5" s="44">
        <v>3.8710350584307274E-2</v>
      </c>
      <c r="AP5" s="44">
        <v>6.5786727879799667E-2</v>
      </c>
      <c r="AQ5" s="44">
        <v>6.5056343906510827E-2</v>
      </c>
      <c r="AR5" s="44">
        <v>6.1560934891485841E-2</v>
      </c>
      <c r="AS5" s="44">
        <v>5.2118113522537479E-2</v>
      </c>
      <c r="AT5" s="44">
        <v>3.9179883138564353E-2</v>
      </c>
      <c r="AU5" s="44">
        <v>2.8380634390651083E-2</v>
      </c>
      <c r="AV5" s="44">
        <v>2.2068030050083398E-2</v>
      </c>
      <c r="AW5" s="44">
        <v>1.7529215358931594E-2</v>
      </c>
      <c r="AX5" s="44">
        <v>2.9215358931552471E-3</v>
      </c>
      <c r="AY5" s="44"/>
      <c r="AZ5" s="44"/>
      <c r="BA5" s="43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5"/>
      <c r="BS5" s="45"/>
      <c r="BT5" s="45"/>
      <c r="BU5" s="45"/>
      <c r="BV5" s="45">
        <f t="shared" ref="BV5:CP5" si="0">+BV10-BU10</f>
        <v>4.1156609637410746E-2</v>
      </c>
      <c r="BW5" s="45">
        <f t="shared" si="0"/>
        <v>5.0368550368550369E-2</v>
      </c>
      <c r="BX5" s="45">
        <f t="shared" si="0"/>
        <v>4.9549549549549599E-2</v>
      </c>
      <c r="BY5" s="45">
        <f t="shared" si="0"/>
        <v>4.0950040950040956E-2</v>
      </c>
      <c r="BZ5" s="45">
        <f t="shared" si="0"/>
        <v>3.2760032760032698E-2</v>
      </c>
      <c r="CA5" s="45">
        <f t="shared" si="0"/>
        <v>2.9402129402129606E-2</v>
      </c>
      <c r="CB5" s="45">
        <f t="shared" si="0"/>
        <v>2.2522522522522515E-2</v>
      </c>
      <c r="CC5" s="45">
        <f t="shared" si="0"/>
        <v>1.4578214578214399E-2</v>
      </c>
      <c r="CD5" s="45">
        <f t="shared" si="0"/>
        <v>8.1900081900081467E-3</v>
      </c>
      <c r="CE5" s="45">
        <f t="shared" si="0"/>
        <v>1.0565110565110669E-2</v>
      </c>
      <c r="CF5" s="45">
        <f t="shared" si="0"/>
        <v>6.5520065520064952E-3</v>
      </c>
      <c r="CG5" s="45">
        <f t="shared" si="0"/>
        <v>3.2760032760033031E-3</v>
      </c>
      <c r="CH5" s="45">
        <f t="shared" si="0"/>
        <v>8.1900081900082577E-3</v>
      </c>
      <c r="CI5" s="45">
        <f t="shared" si="0"/>
        <v>6.6339066339067276E-3</v>
      </c>
      <c r="CJ5" s="45">
        <f t="shared" si="0"/>
        <v>1.1793611793611603E-2</v>
      </c>
      <c r="CK5" s="45">
        <f t="shared" si="0"/>
        <v>1.2285012285012331E-2</v>
      </c>
      <c r="CL5" s="45">
        <f t="shared" si="0"/>
        <v>8.4357084357086221E-3</v>
      </c>
      <c r="CM5" s="45">
        <f t="shared" si="0"/>
        <v>8.1900081900081467E-3</v>
      </c>
      <c r="CN5" s="45">
        <f t="shared" si="0"/>
        <v>8.1900081900081467E-3</v>
      </c>
      <c r="CO5" s="45">
        <f t="shared" si="0"/>
        <v>8.1900081900082577E-3</v>
      </c>
      <c r="CP5" s="51">
        <f t="shared" si="0"/>
        <v>4.9140049140039554E-4</v>
      </c>
    </row>
    <row r="6" spans="1:94" x14ac:dyDescent="0.25">
      <c r="A6" s="37" t="s">
        <v>164</v>
      </c>
      <c r="B6" s="45">
        <v>0</v>
      </c>
      <c r="C6" s="65">
        <f>+C11-B11</f>
        <v>4.1736227045075132E-3</v>
      </c>
      <c r="D6" s="65">
        <f t="shared" ref="D6:BO6" si="1">+D11-C11</f>
        <v>4.1736227045075123E-3</v>
      </c>
      <c r="E6" s="65">
        <f t="shared" si="1"/>
        <v>4.1736227045075132E-3</v>
      </c>
      <c r="F6" s="65">
        <f t="shared" si="1"/>
        <v>4.1736227045075132E-3</v>
      </c>
      <c r="G6" s="65">
        <f t="shared" si="1"/>
        <v>4.1736227045075097E-3</v>
      </c>
      <c r="H6" s="65">
        <f t="shared" si="1"/>
        <v>4.1736227045075132E-3</v>
      </c>
      <c r="I6" s="65">
        <f t="shared" si="1"/>
        <v>4.1736227045075167E-3</v>
      </c>
      <c r="J6" s="65">
        <f t="shared" si="1"/>
        <v>4.1736227045075097E-3</v>
      </c>
      <c r="K6" s="65">
        <f t="shared" si="1"/>
        <v>4.1736227045075097E-3</v>
      </c>
      <c r="L6" s="65">
        <f t="shared" si="1"/>
        <v>4.1736227045075167E-3</v>
      </c>
      <c r="M6" s="65">
        <f t="shared" si="1"/>
        <v>4.1736227045075097E-3</v>
      </c>
      <c r="N6" s="65">
        <f t="shared" si="1"/>
        <v>6.3126043405676152E-3</v>
      </c>
      <c r="O6" s="65">
        <f t="shared" si="1"/>
        <v>0</v>
      </c>
      <c r="P6" s="65">
        <f t="shared" si="1"/>
        <v>1.1477462437395655E-2</v>
      </c>
      <c r="Q6" s="65">
        <f t="shared" si="1"/>
        <v>6.5734557595993337E-3</v>
      </c>
      <c r="R6" s="65">
        <f t="shared" si="1"/>
        <v>6.5734557595993337E-3</v>
      </c>
      <c r="S6" s="65">
        <f t="shared" si="1"/>
        <v>7.8777128547579262E-3</v>
      </c>
      <c r="T6" s="65">
        <f t="shared" si="1"/>
        <v>1.6277128547579345E-3</v>
      </c>
      <c r="U6" s="65">
        <f t="shared" si="1"/>
        <v>4.632721202003337E-3</v>
      </c>
      <c r="V6" s="65">
        <f t="shared" si="1"/>
        <v>5.0083472454090089E-3</v>
      </c>
      <c r="W6" s="65">
        <f t="shared" si="1"/>
        <v>5.6761268781302249E-3</v>
      </c>
      <c r="X6" s="65">
        <f t="shared" si="1"/>
        <v>1.0016694490817962E-3</v>
      </c>
      <c r="Y6" s="65">
        <f t="shared" si="1"/>
        <v>2.399833055091824E-3</v>
      </c>
      <c r="Z6" s="65">
        <f t="shared" si="1"/>
        <v>2.6919866444073404E-3</v>
      </c>
      <c r="AA6" s="65">
        <f t="shared" si="1"/>
        <v>1.4816360601001693E-3</v>
      </c>
      <c r="AB6" s="65">
        <f t="shared" si="1"/>
        <v>2.0868113522537618E-3</v>
      </c>
      <c r="AC6" s="65">
        <f t="shared" si="1"/>
        <v>0</v>
      </c>
      <c r="AD6" s="65">
        <f t="shared" si="1"/>
        <v>1.043405676126874E-3</v>
      </c>
      <c r="AE6" s="65">
        <f t="shared" si="1"/>
        <v>2.6085141903171988E-3</v>
      </c>
      <c r="AF6" s="65">
        <f t="shared" si="1"/>
        <v>1.2520868113522488E-3</v>
      </c>
      <c r="AG6" s="65">
        <f t="shared" si="1"/>
        <v>8.3472454090151305E-4</v>
      </c>
      <c r="AH6" s="65">
        <f t="shared" si="1"/>
        <v>4.6953255425709467E-3</v>
      </c>
      <c r="AI6" s="65">
        <f t="shared" si="1"/>
        <v>1.9720367278798001E-2</v>
      </c>
      <c r="AJ6" s="65">
        <f t="shared" si="1"/>
        <v>9.3489148580968018E-3</v>
      </c>
      <c r="AK6" s="65">
        <f t="shared" si="1"/>
        <v>1.1936560565943249E-2</v>
      </c>
      <c r="AL6" s="65">
        <f t="shared" si="1"/>
        <v>1.4482471153589305E-2</v>
      </c>
      <c r="AM6" s="65">
        <f t="shared" si="1"/>
        <v>9.6828046744574514E-3</v>
      </c>
      <c r="AN6" s="65">
        <f t="shared" si="1"/>
        <v>2.9632721202003387E-3</v>
      </c>
      <c r="AO6" s="65">
        <f t="shared" si="1"/>
        <v>2.9632721202003109E-3</v>
      </c>
      <c r="AP6" s="65">
        <f t="shared" si="1"/>
        <v>1.1769616026711227E-2</v>
      </c>
      <c r="AQ6" s="65">
        <f t="shared" si="1"/>
        <v>0</v>
      </c>
      <c r="AR6" s="65">
        <f t="shared" si="1"/>
        <v>2.9173622704507518E-2</v>
      </c>
      <c r="AS6" s="65">
        <f t="shared" si="1"/>
        <v>8.7228714524206219E-3</v>
      </c>
      <c r="AT6" s="65">
        <f t="shared" si="1"/>
        <v>4.0667779632721224E-2</v>
      </c>
      <c r="AU6" s="65">
        <f t="shared" si="1"/>
        <v>1.653589315525883E-2</v>
      </c>
      <c r="AV6" s="65">
        <f t="shared" si="1"/>
        <v>1.3973288814691176E-2</v>
      </c>
      <c r="AW6" s="65">
        <f t="shared" si="1"/>
        <v>1.8313856427378927E-2</v>
      </c>
      <c r="AX6" s="65">
        <f t="shared" si="1"/>
        <v>1.0000000000000564E-3</v>
      </c>
      <c r="AY6" s="65">
        <f t="shared" si="1"/>
        <v>1.2731218697829727E-2</v>
      </c>
      <c r="AZ6" s="65">
        <f t="shared" si="1"/>
        <v>2.2954924874791283E-2</v>
      </c>
      <c r="BA6" s="65">
        <f t="shared" si="1"/>
        <v>8.3722871452420189E-3</v>
      </c>
      <c r="BB6" s="65">
        <f t="shared" si="1"/>
        <v>1.0000000000000009E-2</v>
      </c>
      <c r="BC6" s="65">
        <f t="shared" si="1"/>
        <v>1.0000000000000009E-2</v>
      </c>
      <c r="BD6" s="65">
        <f t="shared" si="1"/>
        <v>5.9868959868960014E-3</v>
      </c>
      <c r="BE6" s="65">
        <f t="shared" si="1"/>
        <v>0</v>
      </c>
      <c r="BF6" s="65">
        <f t="shared" si="1"/>
        <v>3.9931301008095554E-2</v>
      </c>
      <c r="BG6" s="65">
        <f t="shared" si="1"/>
        <v>4.2378964941569397E-2</v>
      </c>
      <c r="BH6" s="65">
        <f t="shared" si="1"/>
        <v>3.262938230383966E-2</v>
      </c>
      <c r="BI6" s="65">
        <f t="shared" si="1"/>
        <v>7.879799759599404E-3</v>
      </c>
      <c r="BJ6" s="65">
        <f t="shared" si="1"/>
        <v>1.3722871358931577E-2</v>
      </c>
      <c r="BK6" s="65">
        <f t="shared" si="1"/>
        <v>1.0041736227045073E-2</v>
      </c>
      <c r="BL6" s="65">
        <f t="shared" si="1"/>
        <v>1.1661101836394017E-2</v>
      </c>
      <c r="BM6" s="65">
        <f t="shared" si="1"/>
        <v>7.3038395776292564E-3</v>
      </c>
      <c r="BN6" s="65">
        <f t="shared" si="1"/>
        <v>7.8464108397328092E-3</v>
      </c>
      <c r="BO6" s="65">
        <f t="shared" si="1"/>
        <v>1.0617696160267198E-2</v>
      </c>
      <c r="BP6" s="65">
        <f t="shared" ref="BP6:CH6" si="2">+BP11-BO11</f>
        <v>5.2003340000000842E-3</v>
      </c>
      <c r="BQ6" s="65">
        <f t="shared" si="2"/>
        <v>3.0050079999999202E-3</v>
      </c>
      <c r="BR6" s="65">
        <f t="shared" si="2"/>
        <v>1.1427379202003429E-2</v>
      </c>
      <c r="BS6" s="65">
        <f t="shared" si="2"/>
        <v>0</v>
      </c>
      <c r="BT6" s="65">
        <f t="shared" si="2"/>
        <v>3.0884808013356135E-3</v>
      </c>
      <c r="BU6" s="65">
        <f t="shared" si="2"/>
        <v>5.008347245408995E-3</v>
      </c>
      <c r="BV6" s="65">
        <f t="shared" si="2"/>
        <v>2.6794657762936325E-3</v>
      </c>
      <c r="BW6" s="65">
        <f t="shared" si="2"/>
        <v>3.9232053422372237E-3</v>
      </c>
      <c r="BX6" s="65">
        <f t="shared" si="2"/>
        <v>3.1719532554256302E-3</v>
      </c>
      <c r="BY6" s="65">
        <f t="shared" si="2"/>
        <v>3.3973288814691527E-3</v>
      </c>
      <c r="BZ6" s="65">
        <f t="shared" si="2"/>
        <v>8.5141903171953581E-3</v>
      </c>
      <c r="CA6" s="65">
        <f t="shared" si="2"/>
        <v>1.1035058430717726E-2</v>
      </c>
      <c r="CB6" s="65">
        <f t="shared" si="2"/>
        <v>1.0049248747913242E-2</v>
      </c>
      <c r="CC6" s="65">
        <f t="shared" si="2"/>
        <v>7.939065108514276E-3</v>
      </c>
      <c r="CD6" s="65">
        <f t="shared" si="2"/>
        <v>6.8864774624373126E-3</v>
      </c>
      <c r="CE6" s="65">
        <f t="shared" si="2"/>
        <v>8.9729549248747098E-3</v>
      </c>
      <c r="CF6" s="65">
        <f t="shared" si="2"/>
        <v>5.7015025041736722E-3</v>
      </c>
      <c r="CG6" s="65">
        <f t="shared" si="2"/>
        <v>5.972153972154004E-3</v>
      </c>
      <c r="CH6" s="65">
        <f t="shared" si="2"/>
        <v>5.8140868140870161E-3</v>
      </c>
      <c r="CI6" s="44"/>
      <c r="CJ6" s="44"/>
      <c r="CK6" s="44"/>
      <c r="CL6" s="44"/>
      <c r="CM6" s="44"/>
      <c r="CN6" s="44"/>
      <c r="CO6" s="44"/>
      <c r="CP6" s="69"/>
    </row>
    <row r="7" spans="1:94" hidden="1" x14ac:dyDescent="0.25">
      <c r="A7" s="37" t="s">
        <v>158</v>
      </c>
      <c r="B7" s="46">
        <v>28</v>
      </c>
      <c r="C7" s="46">
        <v>68</v>
      </c>
      <c r="D7" s="46">
        <v>108</v>
      </c>
      <c r="E7" s="46">
        <v>148</v>
      </c>
      <c r="F7" s="46">
        <v>188</v>
      </c>
      <c r="G7" s="46">
        <v>228</v>
      </c>
      <c r="H7" s="46">
        <v>268</v>
      </c>
      <c r="I7" s="46">
        <v>308</v>
      </c>
      <c r="J7" s="46">
        <v>348</v>
      </c>
      <c r="K7" s="46">
        <v>388</v>
      </c>
      <c r="L7" s="46">
        <v>428</v>
      </c>
      <c r="M7" s="46">
        <v>468</v>
      </c>
      <c r="N7" s="46">
        <v>476</v>
      </c>
      <c r="O7" s="46">
        <v>528.5</v>
      </c>
      <c r="P7" s="46">
        <v>591.5</v>
      </c>
      <c r="Q7" s="46">
        <v>638.5</v>
      </c>
      <c r="R7" s="46">
        <v>701.5</v>
      </c>
      <c r="S7" s="46">
        <v>764.5</v>
      </c>
      <c r="T7" s="46">
        <v>827.5</v>
      </c>
      <c r="U7" s="46">
        <v>888.5</v>
      </c>
      <c r="V7" s="46">
        <v>1137.5</v>
      </c>
      <c r="W7" s="46">
        <v>1335</v>
      </c>
      <c r="X7" s="46">
        <v>1524</v>
      </c>
      <c r="Y7" s="46">
        <v>1711.5</v>
      </c>
      <c r="Z7" s="46">
        <v>1900.5</v>
      </c>
      <c r="AA7" s="46">
        <v>2089.5</v>
      </c>
      <c r="AB7" s="46">
        <v>2152.5</v>
      </c>
      <c r="AC7" s="46">
        <v>2278.5</v>
      </c>
      <c r="AD7" s="46">
        <v>2467.5</v>
      </c>
      <c r="AE7" s="46">
        <v>2640</v>
      </c>
      <c r="AF7" s="46">
        <v>2826</v>
      </c>
      <c r="AG7" s="46">
        <v>3015</v>
      </c>
      <c r="AH7" s="46">
        <v>3204</v>
      </c>
      <c r="AI7" s="46">
        <v>3393</v>
      </c>
      <c r="AJ7" s="46">
        <v>3582</v>
      </c>
      <c r="AK7" s="46">
        <v>3771</v>
      </c>
      <c r="AL7" s="46">
        <v>3960</v>
      </c>
      <c r="AM7" s="46">
        <v>4149</v>
      </c>
      <c r="AN7" s="46">
        <v>4760</v>
      </c>
      <c r="AO7" s="46">
        <v>5394.5</v>
      </c>
      <c r="AP7" s="46">
        <v>5814.5</v>
      </c>
      <c r="AQ7" s="46">
        <v>6185.5</v>
      </c>
      <c r="AR7" s="46">
        <v>6816</v>
      </c>
      <c r="AS7" s="46">
        <v>7439.5</v>
      </c>
      <c r="AT7" s="46">
        <v>8029.5</v>
      </c>
      <c r="AU7" s="46">
        <v>8529</v>
      </c>
      <c r="AV7" s="46">
        <v>8904.5</v>
      </c>
      <c r="AW7" s="46">
        <v>9176.5</v>
      </c>
      <c r="AX7" s="46">
        <v>9388</v>
      </c>
      <c r="AY7" s="46">
        <v>9556</v>
      </c>
      <c r="AZ7" s="46">
        <f>9584+136+48</f>
        <v>9768</v>
      </c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8"/>
    </row>
    <row r="8" spans="1:94" x14ac:dyDescent="0.25">
      <c r="A8" s="37" t="s">
        <v>159</v>
      </c>
      <c r="B8" s="32">
        <v>28</v>
      </c>
      <c r="C8" s="33">
        <v>68</v>
      </c>
      <c r="D8" s="33">
        <v>108</v>
      </c>
      <c r="E8" s="33">
        <v>148</v>
      </c>
      <c r="F8" s="33">
        <v>188</v>
      </c>
      <c r="G8" s="33">
        <v>228</v>
      </c>
      <c r="H8" s="33">
        <v>268</v>
      </c>
      <c r="I8" s="33">
        <v>308</v>
      </c>
      <c r="J8" s="33">
        <v>348</v>
      </c>
      <c r="K8" s="33">
        <v>388</v>
      </c>
      <c r="L8" s="33">
        <v>428</v>
      </c>
      <c r="M8" s="33">
        <v>468</v>
      </c>
      <c r="N8" s="33">
        <v>476</v>
      </c>
      <c r="O8" s="32">
        <v>528.5</v>
      </c>
      <c r="P8" s="33">
        <v>591.5</v>
      </c>
      <c r="Q8" s="33">
        <v>638.5</v>
      </c>
      <c r="R8" s="33">
        <v>701.5</v>
      </c>
      <c r="S8" s="33">
        <v>764.5</v>
      </c>
      <c r="T8" s="33">
        <v>827.5</v>
      </c>
      <c r="U8" s="33">
        <v>888.5</v>
      </c>
      <c r="V8" s="33">
        <v>1036</v>
      </c>
      <c r="W8" s="33">
        <v>1224</v>
      </c>
      <c r="X8" s="33">
        <v>1413</v>
      </c>
      <c r="Y8" s="33">
        <v>1552.5</v>
      </c>
      <c r="Z8" s="33">
        <v>1741.5</v>
      </c>
      <c r="AA8" s="33">
        <v>1930.5</v>
      </c>
      <c r="AB8" s="33">
        <v>1984.2</v>
      </c>
      <c r="AC8" s="32">
        <v>2068.1999999999998</v>
      </c>
      <c r="AD8" s="33">
        <v>2194.1999999999998</v>
      </c>
      <c r="AE8" s="33">
        <v>2298.1999999999998</v>
      </c>
      <c r="AF8" s="33">
        <v>2499.6</v>
      </c>
      <c r="AG8" s="33">
        <v>2688.6</v>
      </c>
      <c r="AH8" s="33">
        <v>2877.6</v>
      </c>
      <c r="AI8" s="33">
        <v>3007.6</v>
      </c>
      <c r="AJ8" s="33">
        <v>3133.6</v>
      </c>
      <c r="AK8" s="33">
        <v>3259.6</v>
      </c>
      <c r="AL8" s="33">
        <v>3385.6</v>
      </c>
      <c r="AM8" s="33">
        <v>3487.6</v>
      </c>
      <c r="AN8" s="33">
        <v>3911.6</v>
      </c>
      <c r="AO8" s="33">
        <v>4334.1000000000004</v>
      </c>
      <c r="AP8" s="33">
        <v>4602.1999999999989</v>
      </c>
      <c r="AQ8" s="32">
        <v>4804.5</v>
      </c>
      <c r="AR8" s="33">
        <v>5091.5</v>
      </c>
      <c r="AS8" s="33">
        <v>5347.32</v>
      </c>
      <c r="AT8" s="33">
        <v>5549.82</v>
      </c>
      <c r="AU8" s="33">
        <v>5758.82</v>
      </c>
      <c r="AV8" s="33">
        <v>5917.9199999999992</v>
      </c>
      <c r="AW8" s="33">
        <v>5917.9199999999992</v>
      </c>
      <c r="AX8" s="33">
        <v>5917.9199999999992</v>
      </c>
      <c r="AY8" s="33">
        <v>5917.9199999999992</v>
      </c>
      <c r="AZ8" s="33">
        <v>5917.9199999999992</v>
      </c>
      <c r="BA8" s="33">
        <v>5917.9199999999992</v>
      </c>
      <c r="BB8" s="33">
        <v>5917.9199999999992</v>
      </c>
      <c r="BC8" s="33">
        <v>5917.9199999999992</v>
      </c>
      <c r="BD8" s="33">
        <v>5917.9199999999992</v>
      </c>
      <c r="BE8" s="32">
        <v>5917.9199999999992</v>
      </c>
      <c r="BF8" s="33">
        <v>5917.9199999999992</v>
      </c>
      <c r="BG8" s="33">
        <v>5917.9199999999992</v>
      </c>
      <c r="BH8" s="33">
        <v>5917.9199999999992</v>
      </c>
      <c r="BI8" s="33">
        <v>5917.9199999999992</v>
      </c>
      <c r="BJ8" s="33">
        <v>5917.9199999999992</v>
      </c>
      <c r="BK8" s="33">
        <v>5917.9199999999992</v>
      </c>
      <c r="BL8" s="33">
        <v>5917.9199999999992</v>
      </c>
      <c r="BM8" s="33">
        <v>5917.9199999999992</v>
      </c>
      <c r="BN8" s="33">
        <v>5917.9199999999992</v>
      </c>
      <c r="BO8" s="33">
        <v>5917.9199999999992</v>
      </c>
      <c r="BP8" s="33">
        <v>5917.9199999999992</v>
      </c>
      <c r="BQ8" s="33">
        <v>5917.9199999999992</v>
      </c>
      <c r="BR8" s="33">
        <v>5917.9199999999992</v>
      </c>
      <c r="BS8" s="32">
        <v>5917.9199999999992</v>
      </c>
      <c r="BT8" s="33">
        <v>5917.9199999999992</v>
      </c>
      <c r="BU8" s="33">
        <v>5917.9199999999992</v>
      </c>
      <c r="BV8" s="33">
        <v>6435.9999999999991</v>
      </c>
      <c r="BW8" s="33">
        <v>6927.9999999999991</v>
      </c>
      <c r="BX8" s="33">
        <v>7411.9999999999991</v>
      </c>
      <c r="BY8" s="33">
        <v>7811.9999999999991</v>
      </c>
      <c r="BZ8" s="33">
        <v>8131.9999999999991</v>
      </c>
      <c r="CA8" s="33">
        <v>8419.2000000000007</v>
      </c>
      <c r="CB8" s="33">
        <v>8639.2000000000007</v>
      </c>
      <c r="CC8" s="33">
        <v>8781.5999999999985</v>
      </c>
      <c r="CD8" s="33">
        <v>8861.5999999999985</v>
      </c>
      <c r="CE8" s="33">
        <v>8964.7999999999993</v>
      </c>
      <c r="CF8" s="33">
        <v>9028.7999999999993</v>
      </c>
      <c r="CG8" s="32">
        <v>9060.7999999999993</v>
      </c>
      <c r="CH8" s="33">
        <v>9140.7999999999993</v>
      </c>
      <c r="CI8" s="33">
        <v>9205.6</v>
      </c>
      <c r="CJ8" s="33">
        <v>9320.7999999999993</v>
      </c>
      <c r="CK8" s="33">
        <v>9440.7999999999993</v>
      </c>
      <c r="CL8" s="33">
        <v>9523.2000000000007</v>
      </c>
      <c r="CM8" s="33">
        <v>9603.2000000000007</v>
      </c>
      <c r="CN8" s="33">
        <v>9683.2000000000007</v>
      </c>
      <c r="CO8" s="33">
        <v>9763.2000000000007</v>
      </c>
      <c r="CP8" s="63">
        <v>9768</v>
      </c>
    </row>
    <row r="9" spans="1:94" hidden="1" x14ac:dyDescent="0.25">
      <c r="A9" s="37" t="s">
        <v>167</v>
      </c>
      <c r="B9" s="66">
        <f t="shared" ref="B9:AG9" si="3">+B7/$AZ$7</f>
        <v>2.8665028665028664E-3</v>
      </c>
      <c r="C9" s="45">
        <f t="shared" si="3"/>
        <v>6.9615069615069618E-3</v>
      </c>
      <c r="D9" s="45">
        <f t="shared" si="3"/>
        <v>1.1056511056511056E-2</v>
      </c>
      <c r="E9" s="45">
        <f t="shared" si="3"/>
        <v>1.5151515151515152E-2</v>
      </c>
      <c r="F9" s="45">
        <f t="shared" si="3"/>
        <v>1.9246519246519246E-2</v>
      </c>
      <c r="G9" s="45">
        <f t="shared" si="3"/>
        <v>2.334152334152334E-2</v>
      </c>
      <c r="H9" s="45">
        <f t="shared" si="3"/>
        <v>2.7436527436527438E-2</v>
      </c>
      <c r="I9" s="45">
        <f t="shared" si="3"/>
        <v>3.1531531531531529E-2</v>
      </c>
      <c r="J9" s="45">
        <f t="shared" si="3"/>
        <v>3.562653562653563E-2</v>
      </c>
      <c r="K9" s="45">
        <f t="shared" si="3"/>
        <v>3.9721539721539724E-2</v>
      </c>
      <c r="L9" s="45">
        <f t="shared" si="3"/>
        <v>4.3816543816543818E-2</v>
      </c>
      <c r="M9" s="45">
        <f t="shared" si="3"/>
        <v>4.7911547911547912E-2</v>
      </c>
      <c r="N9" s="45">
        <f t="shared" si="3"/>
        <v>4.8730548730548731E-2</v>
      </c>
      <c r="O9" s="45">
        <f t="shared" si="3"/>
        <v>5.4105241605241605E-2</v>
      </c>
      <c r="P9" s="45">
        <f t="shared" si="3"/>
        <v>6.0554873054873053E-2</v>
      </c>
      <c r="Q9" s="45">
        <f t="shared" si="3"/>
        <v>6.5366502866502862E-2</v>
      </c>
      <c r="R9" s="45">
        <f t="shared" si="3"/>
        <v>7.1816134316134317E-2</v>
      </c>
      <c r="S9" s="45">
        <f t="shared" si="3"/>
        <v>7.8265765765765771E-2</v>
      </c>
      <c r="T9" s="45">
        <f t="shared" si="3"/>
        <v>8.4715397215397212E-2</v>
      </c>
      <c r="U9" s="45">
        <f t="shared" si="3"/>
        <v>9.096027846027846E-2</v>
      </c>
      <c r="V9" s="45">
        <f t="shared" si="3"/>
        <v>0.11645167895167895</v>
      </c>
      <c r="W9" s="45">
        <f t="shared" si="3"/>
        <v>0.13667076167076167</v>
      </c>
      <c r="X9" s="45">
        <f t="shared" si="3"/>
        <v>0.15601965601965603</v>
      </c>
      <c r="Y9" s="45">
        <f t="shared" si="3"/>
        <v>0.17521498771498772</v>
      </c>
      <c r="Z9" s="45">
        <f t="shared" si="3"/>
        <v>0.19456388206388206</v>
      </c>
      <c r="AA9" s="45">
        <f t="shared" si="3"/>
        <v>0.21391277641277642</v>
      </c>
      <c r="AB9" s="45">
        <f t="shared" si="3"/>
        <v>0.22036240786240785</v>
      </c>
      <c r="AC9" s="45">
        <f t="shared" si="3"/>
        <v>0.23326167076167076</v>
      </c>
      <c r="AD9" s="45">
        <f t="shared" si="3"/>
        <v>0.25261056511056512</v>
      </c>
      <c r="AE9" s="45">
        <f t="shared" si="3"/>
        <v>0.27027027027027029</v>
      </c>
      <c r="AF9" s="45">
        <f t="shared" si="3"/>
        <v>0.2893120393120393</v>
      </c>
      <c r="AG9" s="45">
        <f t="shared" si="3"/>
        <v>0.30866093366093367</v>
      </c>
      <c r="AH9" s="45">
        <f t="shared" ref="AH9:AZ9" si="4">+AH7/$AZ$7</f>
        <v>0.32800982800982803</v>
      </c>
      <c r="AI9" s="45">
        <f t="shared" si="4"/>
        <v>0.34735872235872234</v>
      </c>
      <c r="AJ9" s="45">
        <f t="shared" si="4"/>
        <v>0.3667076167076167</v>
      </c>
      <c r="AK9" s="45">
        <f t="shared" si="4"/>
        <v>0.38605651105651106</v>
      </c>
      <c r="AL9" s="45">
        <f t="shared" si="4"/>
        <v>0.40540540540540543</v>
      </c>
      <c r="AM9" s="45">
        <f t="shared" si="4"/>
        <v>0.42475429975429974</v>
      </c>
      <c r="AN9" s="45">
        <f t="shared" si="4"/>
        <v>0.48730548730548728</v>
      </c>
      <c r="AO9" s="45">
        <f t="shared" si="4"/>
        <v>0.55226248976248982</v>
      </c>
      <c r="AP9" s="45">
        <f t="shared" si="4"/>
        <v>0.59526003276003281</v>
      </c>
      <c r="AQ9" s="45">
        <f t="shared" si="4"/>
        <v>0.63324119574119575</v>
      </c>
      <c r="AR9" s="45">
        <f t="shared" si="4"/>
        <v>0.69778869778869779</v>
      </c>
      <c r="AS9" s="45">
        <f t="shared" si="4"/>
        <v>0.76161957411957415</v>
      </c>
      <c r="AT9" s="45">
        <f t="shared" si="4"/>
        <v>0.82202088452088451</v>
      </c>
      <c r="AU9" s="45">
        <f t="shared" si="4"/>
        <v>0.87315724815724816</v>
      </c>
      <c r="AV9" s="45">
        <f t="shared" si="4"/>
        <v>0.91159909909909909</v>
      </c>
      <c r="AW9" s="45">
        <f t="shared" si="4"/>
        <v>0.93944512694512694</v>
      </c>
      <c r="AX9" s="45">
        <f t="shared" si="4"/>
        <v>0.96109746109746108</v>
      </c>
      <c r="AY9" s="45">
        <f t="shared" si="4"/>
        <v>0.97829647829647826</v>
      </c>
      <c r="AZ9" s="45">
        <f t="shared" si="4"/>
        <v>1</v>
      </c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51"/>
    </row>
    <row r="10" spans="1:94" x14ac:dyDescent="0.25">
      <c r="A10" s="37" t="s">
        <v>165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>
        <v>0.61772954924874801</v>
      </c>
      <c r="BV10" s="45">
        <f t="shared" ref="BV10" si="5">+BV8/$AZ$7</f>
        <v>0.65888615888615876</v>
      </c>
      <c r="BW10" s="45">
        <f t="shared" ref="BW10:CK10" si="6">+BW8/$AZ$7</f>
        <v>0.70925470925470913</v>
      </c>
      <c r="BX10" s="45">
        <f t="shared" si="6"/>
        <v>0.75880425880425872</v>
      </c>
      <c r="BY10" s="45">
        <f t="shared" si="6"/>
        <v>0.79975429975429968</v>
      </c>
      <c r="BZ10" s="45">
        <f t="shared" si="6"/>
        <v>0.83251433251433238</v>
      </c>
      <c r="CA10" s="45">
        <f t="shared" si="6"/>
        <v>0.86191646191646198</v>
      </c>
      <c r="CB10" s="45">
        <f t="shared" si="6"/>
        <v>0.8844389844389845</v>
      </c>
      <c r="CC10" s="45">
        <f t="shared" si="6"/>
        <v>0.8990171990171989</v>
      </c>
      <c r="CD10" s="45">
        <f t="shared" si="6"/>
        <v>0.90720720720720704</v>
      </c>
      <c r="CE10" s="45">
        <f t="shared" si="6"/>
        <v>0.91777231777231771</v>
      </c>
      <c r="CF10" s="45">
        <f t="shared" si="6"/>
        <v>0.92432432432432421</v>
      </c>
      <c r="CG10" s="45">
        <f t="shared" si="6"/>
        <v>0.92760032760032751</v>
      </c>
      <c r="CH10" s="45">
        <f t="shared" si="6"/>
        <v>0.93579033579033577</v>
      </c>
      <c r="CI10" s="45">
        <f t="shared" si="6"/>
        <v>0.9424242424242425</v>
      </c>
      <c r="CJ10" s="45">
        <f t="shared" si="6"/>
        <v>0.9542178542178541</v>
      </c>
      <c r="CK10" s="45">
        <f t="shared" si="6"/>
        <v>0.96650286650286643</v>
      </c>
      <c r="CL10" s="45">
        <f t="shared" ref="CL10:CP10" si="7">+CL8/$AZ$7</f>
        <v>0.97493857493857505</v>
      </c>
      <c r="CM10" s="45">
        <f t="shared" si="7"/>
        <v>0.9831285831285832</v>
      </c>
      <c r="CN10" s="45">
        <f t="shared" si="7"/>
        <v>0.99131859131859135</v>
      </c>
      <c r="CO10" s="45">
        <f t="shared" si="7"/>
        <v>0.9995085995085996</v>
      </c>
      <c r="CP10" s="51">
        <f t="shared" si="7"/>
        <v>1</v>
      </c>
    </row>
    <row r="11" spans="1:94" x14ac:dyDescent="0.25">
      <c r="A11" s="52" t="s">
        <v>166</v>
      </c>
      <c r="B11" s="66">
        <v>2.9215358931552588E-3</v>
      </c>
      <c r="C11" s="45">
        <v>7.0951585976627716E-3</v>
      </c>
      <c r="D11" s="45">
        <v>1.1268781302170284E-2</v>
      </c>
      <c r="E11" s="45">
        <v>1.5442404006677797E-2</v>
      </c>
      <c r="F11" s="45">
        <v>1.961602671118531E-2</v>
      </c>
      <c r="G11" s="45">
        <v>2.378964941569282E-2</v>
      </c>
      <c r="H11" s="45">
        <v>2.7963272120200333E-2</v>
      </c>
      <c r="I11" s="45">
        <v>3.213689482470785E-2</v>
      </c>
      <c r="J11" s="45">
        <v>3.631051752921536E-2</v>
      </c>
      <c r="K11" s="45">
        <v>4.0484140233722869E-2</v>
      </c>
      <c r="L11" s="45">
        <v>4.4657762938230386E-2</v>
      </c>
      <c r="M11" s="45">
        <v>4.8831385642737896E-2</v>
      </c>
      <c r="N11" s="45">
        <v>5.5143989983305511E-2</v>
      </c>
      <c r="O11" s="45">
        <v>5.5143989983305511E-2</v>
      </c>
      <c r="P11" s="45">
        <v>6.6621452420701166E-2</v>
      </c>
      <c r="Q11" s="45">
        <v>7.31949081803005E-2</v>
      </c>
      <c r="R11" s="45">
        <v>7.9768363939899833E-2</v>
      </c>
      <c r="S11" s="45">
        <v>8.764607679465776E-2</v>
      </c>
      <c r="T11" s="45">
        <v>8.9273789649415694E-2</v>
      </c>
      <c r="U11" s="45">
        <v>9.3906510851419031E-2</v>
      </c>
      <c r="V11" s="45">
        <v>9.891485809682804E-2</v>
      </c>
      <c r="W11" s="45">
        <v>0.10459098497495826</v>
      </c>
      <c r="X11" s="45">
        <v>0.10559265442404006</v>
      </c>
      <c r="Y11" s="45">
        <v>0.10799248747913189</v>
      </c>
      <c r="Z11" s="45">
        <v>0.11068447412353923</v>
      </c>
      <c r="AA11" s="45">
        <v>0.11216611018363939</v>
      </c>
      <c r="AB11" s="45">
        <v>0.11425292153589316</v>
      </c>
      <c r="AC11" s="45">
        <v>0.11425292153589316</v>
      </c>
      <c r="AD11" s="45">
        <v>0.11529632721202003</v>
      </c>
      <c r="AE11" s="45">
        <v>0.11790484140233723</v>
      </c>
      <c r="AF11" s="45">
        <v>0.11915692821368948</v>
      </c>
      <c r="AG11" s="45">
        <v>0.11999165275459099</v>
      </c>
      <c r="AH11" s="45">
        <v>0.12468697829716194</v>
      </c>
      <c r="AI11" s="45">
        <v>0.14440734557595994</v>
      </c>
      <c r="AJ11" s="45">
        <v>0.15375626043405674</v>
      </c>
      <c r="AK11" s="45">
        <v>0.16569282099999999</v>
      </c>
      <c r="AL11" s="45">
        <v>0.18017529215358929</v>
      </c>
      <c r="AM11" s="45">
        <v>0.18985809682804675</v>
      </c>
      <c r="AN11" s="45">
        <v>0.19282136894824708</v>
      </c>
      <c r="AO11" s="45">
        <v>0.1957846410684474</v>
      </c>
      <c r="AP11" s="45">
        <v>0.20755425709515862</v>
      </c>
      <c r="AQ11" s="45">
        <v>0.20755425709515862</v>
      </c>
      <c r="AR11" s="45">
        <v>0.23672787979966614</v>
      </c>
      <c r="AS11" s="45">
        <v>0.24545075125208676</v>
      </c>
      <c r="AT11" s="45">
        <v>0.28611853088480799</v>
      </c>
      <c r="AU11" s="45">
        <v>0.30265442404006682</v>
      </c>
      <c r="AV11" s="45">
        <v>0.31662771285475799</v>
      </c>
      <c r="AW11" s="45">
        <v>0.33494156928213692</v>
      </c>
      <c r="AX11" s="45">
        <v>0.33594156928213698</v>
      </c>
      <c r="AY11" s="45">
        <v>0.3486727879799667</v>
      </c>
      <c r="AZ11" s="45">
        <v>0.37162771285475799</v>
      </c>
      <c r="BA11" s="45">
        <v>0.38</v>
      </c>
      <c r="BB11" s="45">
        <v>0.39</v>
      </c>
      <c r="BC11" s="45">
        <v>0.4</v>
      </c>
      <c r="BD11" s="45">
        <v>0.40598689598689602</v>
      </c>
      <c r="BE11" s="45">
        <v>0.40598689598689602</v>
      </c>
      <c r="BF11" s="45">
        <v>0.44591819699499158</v>
      </c>
      <c r="BG11" s="45">
        <v>0.48829716193656098</v>
      </c>
      <c r="BH11" s="45">
        <v>0.52092654424040064</v>
      </c>
      <c r="BI11" s="45">
        <v>0.52880634400000004</v>
      </c>
      <c r="BJ11" s="45">
        <v>0.54252921535893162</v>
      </c>
      <c r="BK11" s="45">
        <v>0.55257095158597669</v>
      </c>
      <c r="BL11" s="45">
        <v>0.56423205342237071</v>
      </c>
      <c r="BM11" s="45">
        <v>0.57153589299999996</v>
      </c>
      <c r="BN11" s="45">
        <v>0.57938230383973277</v>
      </c>
      <c r="BO11" s="45">
        <v>0.59</v>
      </c>
      <c r="BP11" s="45">
        <v>0.59520033400000005</v>
      </c>
      <c r="BQ11" s="45">
        <v>0.59820534199999997</v>
      </c>
      <c r="BR11" s="45">
        <v>0.6096327212020034</v>
      </c>
      <c r="BS11" s="45">
        <v>0.6096327212020034</v>
      </c>
      <c r="BT11" s="45">
        <v>0.61272120200333902</v>
      </c>
      <c r="BU11" s="45">
        <v>0.61772954924874801</v>
      </c>
      <c r="BV11" s="45">
        <v>0.62040901502504164</v>
      </c>
      <c r="BW11" s="45">
        <v>0.62433222036727887</v>
      </c>
      <c r="BX11" s="45">
        <v>0.6275041736227045</v>
      </c>
      <c r="BY11" s="45">
        <v>0.63090150250417365</v>
      </c>
      <c r="BZ11" s="45">
        <v>0.63941569282136901</v>
      </c>
      <c r="CA11" s="45">
        <v>0.65045075125208673</v>
      </c>
      <c r="CB11" s="45">
        <v>0.66049999999999998</v>
      </c>
      <c r="CC11" s="45">
        <v>0.66843906510851425</v>
      </c>
      <c r="CD11" s="45">
        <v>0.67532554257095156</v>
      </c>
      <c r="CE11" s="45">
        <v>0.68429849749582627</v>
      </c>
      <c r="CF11" s="45">
        <v>0.69</v>
      </c>
      <c r="CG11" s="45">
        <v>0.69597215397215395</v>
      </c>
      <c r="CH11" s="45">
        <v>0.70178624078624097</v>
      </c>
      <c r="CI11" s="45"/>
      <c r="CJ11" s="45"/>
      <c r="CK11" s="45"/>
      <c r="CL11" s="45"/>
      <c r="CM11" s="45"/>
      <c r="CN11" s="45"/>
      <c r="CO11" s="45"/>
      <c r="CP11" s="51"/>
    </row>
    <row r="12" spans="1:94" x14ac:dyDescent="0.25">
      <c r="A12" s="55" t="s">
        <v>74</v>
      </c>
      <c r="B12" s="56">
        <f>B9-B11</f>
        <v>-5.5033026652392437E-5</v>
      </c>
      <c r="C12" s="56">
        <f t="shared" ref="C12:E12" si="8">C9-C11</f>
        <v>-1.3365163615580971E-4</v>
      </c>
      <c r="D12" s="56">
        <f t="shared" si="8"/>
        <v>-2.1227024565922785E-4</v>
      </c>
      <c r="E12" s="56">
        <f t="shared" si="8"/>
        <v>-2.9088885516264512E-4</v>
      </c>
      <c r="F12" s="56">
        <f>F9-F11</f>
        <v>-3.6950746466606413E-4</v>
      </c>
      <c r="G12" s="56">
        <f t="shared" ref="G12" si="9">G9-G11</f>
        <v>-4.4812607416947967E-4</v>
      </c>
      <c r="H12" s="56">
        <f t="shared" ref="H12" si="10">H9-H11</f>
        <v>-5.267446836728952E-4</v>
      </c>
      <c r="I12" s="56">
        <f>I9-I11</f>
        <v>-6.0536329317632115E-4</v>
      </c>
      <c r="J12" s="56">
        <f t="shared" ref="J12" si="11">J9-J11</f>
        <v>-6.8398190267972975E-4</v>
      </c>
      <c r="K12" s="56">
        <f t="shared" ref="K12" si="12">K9-K11</f>
        <v>-7.6260051218314528E-4</v>
      </c>
      <c r="L12" s="56">
        <f t="shared" ref="L12" si="13">L9-L11</f>
        <v>-8.4121912168656776E-4</v>
      </c>
      <c r="M12" s="56">
        <f>M9-M11</f>
        <v>-9.198377311899833E-4</v>
      </c>
      <c r="N12" s="56">
        <f t="shared" ref="N12" si="14">N9-N11</f>
        <v>-6.4134412527567797E-3</v>
      </c>
      <c r="O12" s="56">
        <f t="shared" ref="O12" si="15">O9-O11</f>
        <v>-1.0387483780639056E-3</v>
      </c>
      <c r="P12" s="56">
        <f>P9-P11</f>
        <v>-6.0665793658281134E-3</v>
      </c>
      <c r="Q12" s="56">
        <f t="shared" ref="Q12" si="16">Q9-Q11</f>
        <v>-7.8284053137976373E-3</v>
      </c>
      <c r="R12" s="56">
        <f t="shared" ref="R12" si="17">R9-R11</f>
        <v>-7.9522296237655166E-3</v>
      </c>
      <c r="S12" s="56">
        <f t="shared" ref="S12" si="18">S9-S11</f>
        <v>-9.3803110288919883E-3</v>
      </c>
      <c r="T12" s="56">
        <f>T9-T11</f>
        <v>-4.5583924340184823E-3</v>
      </c>
      <c r="U12" s="56">
        <f t="shared" ref="U12" si="19">U9-U11</f>
        <v>-2.9462323911405713E-3</v>
      </c>
      <c r="V12" s="56">
        <f t="shared" ref="V12" si="20">V9-V11</f>
        <v>1.7536820854850907E-2</v>
      </c>
      <c r="W12" s="56">
        <f>W9-W11</f>
        <v>3.2079776695803405E-2</v>
      </c>
      <c r="X12" s="56">
        <f t="shared" ref="X12" si="21">X9-X11</f>
        <v>5.0427001595615972E-2</v>
      </c>
      <c r="Y12" s="56">
        <f t="shared" ref="Y12" si="22">Y9-Y11</f>
        <v>6.7222500235855839E-2</v>
      </c>
      <c r="Z12" s="56">
        <f t="shared" ref="Z12" si="23">Z9-Z11</f>
        <v>8.3879407940342834E-2</v>
      </c>
      <c r="AA12" s="56">
        <f>AA9-AA11</f>
        <v>0.10174666622913703</v>
      </c>
      <c r="AB12" s="56">
        <f t="shared" ref="AB12" si="24">AB9-AB11</f>
        <v>0.10610948632651469</v>
      </c>
      <c r="AC12" s="56">
        <f t="shared" ref="AC12" si="25">AC9-AC11</f>
        <v>0.1190087492257776</v>
      </c>
      <c r="AD12" s="56">
        <f>AD9-AD11</f>
        <v>0.13731423789854508</v>
      </c>
      <c r="AE12" s="56">
        <f t="shared" ref="AE12" si="26">AE9-AE11</f>
        <v>0.15236542886793306</v>
      </c>
      <c r="AF12" s="56">
        <f t="shared" ref="AF12" si="27">AF9-AF11</f>
        <v>0.17015511109834983</v>
      </c>
      <c r="AG12" s="56">
        <f t="shared" ref="AG12" si="28">AG9-AG11</f>
        <v>0.18866928090634266</v>
      </c>
      <c r="AH12" s="56">
        <f>AH9-AH11</f>
        <v>0.20332284971266609</v>
      </c>
      <c r="AI12" s="56">
        <f t="shared" ref="AI12" si="29">AI9-AI11</f>
        <v>0.2029513767827624</v>
      </c>
      <c r="AJ12" s="56">
        <f>AJ9-AJ11</f>
        <v>0.21295135627355996</v>
      </c>
      <c r="AK12" s="56">
        <f t="shared" ref="AK12" si="30">AK9-AK11</f>
        <v>0.22036369005651107</v>
      </c>
      <c r="AL12" s="56">
        <f t="shared" ref="AL12" si="31">AL9-AL11</f>
        <v>0.22523011325181613</v>
      </c>
      <c r="AM12" s="56">
        <f t="shared" ref="AM12" si="32">AM9-AM11</f>
        <v>0.23489620292625299</v>
      </c>
      <c r="AN12" s="56">
        <f>AN9-AN11</f>
        <v>0.2944841183572402</v>
      </c>
      <c r="AO12" s="56">
        <f t="shared" ref="AO12" si="33">AO9-AO11</f>
        <v>0.35647784869404242</v>
      </c>
      <c r="AP12" s="56">
        <f t="shared" ref="AP12" si="34">AP9-AP11</f>
        <v>0.38770577566487419</v>
      </c>
      <c r="AQ12" s="56">
        <f>AQ9-AQ11</f>
        <v>0.42568693864603713</v>
      </c>
      <c r="AR12" s="56">
        <f t="shared" ref="AR12" si="35">AR9-AR11</f>
        <v>0.46106081798903165</v>
      </c>
      <c r="AS12" s="56">
        <f t="shared" ref="AS12" si="36">AS9-AS11</f>
        <v>0.51616882286748744</v>
      </c>
      <c r="AT12" s="56">
        <f t="shared" ref="AT12" si="37">AT9-AT11</f>
        <v>0.53590235363607652</v>
      </c>
      <c r="AU12" s="56">
        <f>AU9-AU11</f>
        <v>0.57050282411718134</v>
      </c>
      <c r="AV12" s="56">
        <f t="shared" ref="AV12" si="38">AV9-AV11</f>
        <v>0.59497138624434109</v>
      </c>
      <c r="AW12" s="56">
        <f t="shared" ref="AW12" si="39">AW9-AW11</f>
        <v>0.60450355766299002</v>
      </c>
      <c r="AX12" s="56">
        <f>AX9-AX11</f>
        <v>0.62515589181532416</v>
      </c>
      <c r="AY12" s="56">
        <f t="shared" ref="AY12" si="40">AY9-AY11</f>
        <v>0.62962369031651155</v>
      </c>
      <c r="AZ12" s="56">
        <f>AZ9-AZ11</f>
        <v>0.62837228714524196</v>
      </c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>
        <f t="shared" ref="BU12:CH12" si="41">BU10-BU11</f>
        <v>0</v>
      </c>
      <c r="BV12" s="56">
        <f t="shared" si="41"/>
        <v>3.8477143861117113E-2</v>
      </c>
      <c r="BW12" s="56">
        <f t="shared" si="41"/>
        <v>8.4922488887430259E-2</v>
      </c>
      <c r="BX12" s="56">
        <f t="shared" si="41"/>
        <v>0.13130008518155423</v>
      </c>
      <c r="BY12" s="56">
        <f t="shared" si="41"/>
        <v>0.16885279725012603</v>
      </c>
      <c r="BZ12" s="56">
        <f t="shared" si="41"/>
        <v>0.19309863969296337</v>
      </c>
      <c r="CA12" s="56">
        <f t="shared" si="41"/>
        <v>0.21146571066437525</v>
      </c>
      <c r="CB12" s="56">
        <f t="shared" si="41"/>
        <v>0.22393898443898452</v>
      </c>
      <c r="CC12" s="56">
        <f t="shared" si="41"/>
        <v>0.23057813390868465</v>
      </c>
      <c r="CD12" s="56">
        <f t="shared" si="41"/>
        <v>0.23188166463625548</v>
      </c>
      <c r="CE12" s="56">
        <f t="shared" si="41"/>
        <v>0.23347382027649144</v>
      </c>
      <c r="CF12" s="56">
        <f t="shared" si="41"/>
        <v>0.23432432432432426</v>
      </c>
      <c r="CG12" s="56">
        <f t="shared" si="41"/>
        <v>0.23162817362817356</v>
      </c>
      <c r="CH12" s="56">
        <f t="shared" si="41"/>
        <v>0.2340040950040948</v>
      </c>
      <c r="CI12" s="56"/>
      <c r="CJ12" s="56"/>
      <c r="CK12" s="56"/>
      <c r="CL12" s="56"/>
      <c r="CM12" s="56"/>
      <c r="CN12" s="56"/>
      <c r="CO12" s="56"/>
      <c r="CP12" s="57"/>
    </row>
    <row r="13" spans="1:94" hidden="1" x14ac:dyDescent="0.25">
      <c r="A13" s="68" t="s">
        <v>168</v>
      </c>
      <c r="BU13" s="67">
        <v>1</v>
      </c>
    </row>
    <row r="14" spans="1:94" x14ac:dyDescent="0.25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</row>
    <row r="51" spans="81:81" x14ac:dyDescent="0.25">
      <c r="CC51" s="21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S-Curve (2)</vt:lpstr>
      <vt:lpstr>S-Curve Baseline 1</vt:lpstr>
      <vt:lpstr>S-Curve Baseline 2</vt:lpstr>
      <vt:lpstr>S-Curve Baseline 2 HIDE</vt:lpstr>
      <vt:lpstr>S-Curve Baseline2 July-Nov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 Pertama OPI</dc:creator>
  <cp:lastModifiedBy>PH Pertama OPI</cp:lastModifiedBy>
  <dcterms:created xsi:type="dcterms:W3CDTF">2025-11-29T10:07:53Z</dcterms:created>
  <dcterms:modified xsi:type="dcterms:W3CDTF">2026-10-17T02:01:59Z</dcterms:modified>
</cp:coreProperties>
</file>